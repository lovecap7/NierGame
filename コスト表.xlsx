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06F44ACB-6694-4E06-AE22-6995BFF2FB25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5" l="1"/>
  <c r="C3" i="5"/>
  <c r="C7" i="5"/>
  <c r="J9" i="1"/>
  <c r="C12" i="5"/>
  <c r="C11" i="5"/>
  <c r="C10" i="5"/>
  <c r="D10" i="5"/>
  <c r="E10" i="5" l="1"/>
  <c r="J10" i="1"/>
  <c r="J13" i="1"/>
  <c r="J14" i="1" s="1"/>
  <c r="J11" i="1"/>
  <c r="J8" i="1"/>
  <c r="J7" i="1"/>
  <c r="J6" i="1"/>
  <c r="C4" i="5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<sst xmlns="http://schemas.openxmlformats.org/spreadsheetml/2006/main" count="502" uniqueCount="158">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</sst>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abSelected="1" workbookViewId="0">
      <selection activeCell="E23" sqref="E2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SUM(作業工数見積もり!F5:F144)</f>
        <v>75.75</v>
      </c>
    </row>
    <row r="4" spans="2:5">
      <c r="B4" s="5" t="s">
        <v>5</v>
      </c>
      <c r="C4">
        <f>SUMIF(作業工数見積もり!G5:G65,"完了",作業工数見積もり!F5:F65)</f>
        <v>26.75</v>
      </c>
      <c r="D4" t="s">
        <v>6</v>
      </c>
    </row>
    <row r="5" spans="2:5">
      <c r="B5" s="6" t="s">
        <v>7</v>
      </c>
      <c r="C5" s="2">
        <f ca="1">NETWORKDAYS(C6,C7)</f>
        <v>25</v>
      </c>
      <c r="D5" s="3">
        <f ca="1" xml:space="preserve"> C4 / C5</f>
        <v>1.07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45965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56</v>
      </c>
      <c r="E10" s="3">
        <f ca="1">($C$3 - $C$4) / D10</f>
        <v>0.875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64</v>
      </c>
      <c r="E11" s="3">
        <f ca="1">($C$3 - $C$4) / D11</f>
        <v>0.765625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64</v>
      </c>
      <c r="E12" s="3">
        <f ca="1">($C$3 - $C$4) / D12</f>
        <v>0.765625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M115"/>
  <sheetViews>
    <sheetView topLeftCell="A5" zoomScale="55" zoomScaleNormal="55" workbookViewId="0">
      <selection activeCell="I62" sqref="I62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 ht="33.75" thickBot="1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 ht="33.75" hidden="1" thickBot="1">
      <c r="B3" s="50" t="s">
        <v>123</v>
      </c>
      <c r="C3" s="14" t="s">
        <v>125</v>
      </c>
      <c r="D3" s="15" t="s">
        <v>4</v>
      </c>
      <c r="E3" s="15" t="s">
        <v>16</v>
      </c>
      <c r="F3" s="15">
        <v>2</v>
      </c>
      <c r="G3" s="15" t="s">
        <v>134</v>
      </c>
    </row>
    <row r="4" spans="2:13" ht="33.75" hidden="1" thickBot="1">
      <c r="B4" s="50" t="s">
        <v>123</v>
      </c>
      <c r="C4" s="14" t="s">
        <v>124</v>
      </c>
      <c r="D4" s="15" t="s">
        <v>4</v>
      </c>
      <c r="E4" s="15" t="s">
        <v>16</v>
      </c>
      <c r="F4" s="15">
        <v>2</v>
      </c>
      <c r="G4" s="15" t="s">
        <v>134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90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COUNTIF(E5:E112,I6)</f>
        <v>56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COUNTIF(E5:E112,I7)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COUNTIF(E5:E112,I8)</f>
        <v>10</v>
      </c>
      <c r="K8" s="29"/>
      <c r="L8" s="63"/>
      <c r="M8" s="26"/>
    </row>
    <row r="9" spans="2:13" hidden="1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134</v>
      </c>
      <c r="H9" s="22"/>
      <c r="I9" s="32" t="s">
        <v>17</v>
      </c>
      <c r="J9" s="28">
        <f>COUNTIF(G5:G112,I9)</f>
        <v>48</v>
      </c>
      <c r="K9" s="33">
        <f>J9/J5</f>
        <v>0.53333333333333333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COUNTIF(G5:G112,I10)</f>
        <v>42</v>
      </c>
      <c r="K10" s="35">
        <f>(J10+J11)/J5</f>
        <v>0.46666666666666667</v>
      </c>
      <c r="L10" s="63"/>
      <c r="M10" s="26"/>
    </row>
    <row r="11" spans="2:13" hidden="1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134</v>
      </c>
      <c r="H11" s="22"/>
      <c r="I11" s="37" t="s">
        <v>42</v>
      </c>
      <c r="J11" s="19">
        <f>COUNTIF(G5:G112,I11)</f>
        <v>0</v>
      </c>
      <c r="K11" s="29"/>
      <c r="L11" s="63"/>
      <c r="M11" s="26"/>
    </row>
    <row r="12" spans="2:13" hidden="1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134</v>
      </c>
      <c r="H12" s="22"/>
      <c r="I12" s="38"/>
      <c r="J12" s="19"/>
      <c r="K12" s="29"/>
      <c r="L12" s="63"/>
      <c r="M12" s="26"/>
    </row>
    <row r="13" spans="2:13" hidden="1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134</v>
      </c>
      <c r="H13" s="22"/>
      <c r="I13" s="39" t="s">
        <v>44</v>
      </c>
      <c r="J13" s="19">
        <f>SUM(F5:F112)</f>
        <v>75.75</v>
      </c>
      <c r="K13" s="29"/>
      <c r="L13" s="63"/>
      <c r="M13" s="26"/>
    </row>
    <row r="14" spans="2:13" hidden="1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134</v>
      </c>
      <c r="H14" s="22"/>
      <c r="I14" s="57" t="s">
        <v>45</v>
      </c>
      <c r="J14" s="19">
        <f>8*J13</f>
        <v>606</v>
      </c>
      <c r="K14" s="29"/>
      <c r="L14" s="63"/>
      <c r="M14" s="26"/>
    </row>
    <row r="15" spans="2:13" ht="35.25" hidden="1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134</v>
      </c>
      <c r="H15" s="22"/>
      <c r="I15" s="58" t="s">
        <v>24</v>
      </c>
      <c r="J15" s="19"/>
      <c r="K15" s="29"/>
      <c r="L15" s="63"/>
      <c r="M15" s="26"/>
    </row>
    <row r="16" spans="2:13" ht="36" hidden="1" thickBot="1">
      <c r="B16" s="36" t="s">
        <v>43</v>
      </c>
      <c r="C16" s="14" t="s">
        <v>135</v>
      </c>
      <c r="D16" s="15" t="s">
        <v>4</v>
      </c>
      <c r="E16" s="15" t="s">
        <v>16</v>
      </c>
      <c r="F16" s="15">
        <v>1</v>
      </c>
      <c r="G16" s="15" t="s">
        <v>134</v>
      </c>
      <c r="H16" s="22"/>
      <c r="I16" s="59" t="s">
        <v>25</v>
      </c>
      <c r="J16" s="60"/>
      <c r="K16" s="61"/>
      <c r="L16" s="64"/>
      <c r="M16" s="26"/>
    </row>
    <row r="17" spans="2:12" ht="35.25" hidden="1">
      <c r="B17" s="36" t="s">
        <v>43</v>
      </c>
      <c r="C17" s="14" t="s">
        <v>136</v>
      </c>
      <c r="D17" s="15" t="s">
        <v>4</v>
      </c>
      <c r="E17" s="15" t="s">
        <v>16</v>
      </c>
      <c r="F17" s="15">
        <v>1</v>
      </c>
      <c r="G17" s="15" t="s">
        <v>134</v>
      </c>
      <c r="I17" s="56"/>
      <c r="J17" s="42"/>
      <c r="K17" s="42"/>
      <c r="L17" s="42"/>
    </row>
    <row r="18" spans="2:12" ht="35.25" hidden="1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134</v>
      </c>
      <c r="I18" s="55"/>
    </row>
    <row r="19" spans="2:12" ht="35.25" hidden="1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134</v>
      </c>
      <c r="I19" s="55"/>
    </row>
    <row r="20" spans="2:12" ht="35.25" hidden="1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134</v>
      </c>
      <c r="I20" s="55"/>
    </row>
    <row r="21" spans="2:12" ht="35.25" hidden="1">
      <c r="B21" s="44" t="s">
        <v>78</v>
      </c>
      <c r="C21" s="14" t="s">
        <v>147</v>
      </c>
      <c r="D21" s="15" t="s">
        <v>4</v>
      </c>
      <c r="E21" s="15" t="s">
        <v>16</v>
      </c>
      <c r="F21" s="15">
        <v>0.25</v>
      </c>
      <c r="G21" s="15" t="s">
        <v>134</v>
      </c>
      <c r="I21" s="55"/>
    </row>
    <row r="22" spans="2:12" hidden="1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134</v>
      </c>
    </row>
    <row r="23" spans="2:12" hidden="1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134</v>
      </c>
    </row>
    <row r="24" spans="2:12" hidden="1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134</v>
      </c>
    </row>
    <row r="25" spans="2:12" hidden="1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134</v>
      </c>
    </row>
    <row r="26" spans="2:12" hidden="1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134</v>
      </c>
    </row>
    <row r="27" spans="2:12" hidden="1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134</v>
      </c>
    </row>
    <row r="28" spans="2:12" hidden="1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134</v>
      </c>
    </row>
    <row r="29" spans="2:12" hidden="1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134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 hidden="1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134</v>
      </c>
    </row>
    <row r="32" spans="2:12" hidden="1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134</v>
      </c>
    </row>
    <row r="33" spans="2:7" hidden="1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134</v>
      </c>
    </row>
    <row r="34" spans="2:7" hidden="1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134</v>
      </c>
    </row>
    <row r="35" spans="2:7" hidden="1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134</v>
      </c>
    </row>
    <row r="36" spans="2:7" hidden="1">
      <c r="B36" s="43" t="s">
        <v>53</v>
      </c>
      <c r="C36" s="41" t="s">
        <v>156</v>
      </c>
      <c r="D36" s="15" t="s">
        <v>4</v>
      </c>
      <c r="E36" s="15" t="s">
        <v>16</v>
      </c>
      <c r="F36" s="15">
        <v>1</v>
      </c>
      <c r="G36" s="15" t="s">
        <v>134</v>
      </c>
    </row>
    <row r="37" spans="2:7" hidden="1">
      <c r="B37" s="43" t="s">
        <v>53</v>
      </c>
      <c r="C37" s="41" t="s">
        <v>157</v>
      </c>
      <c r="D37" s="15" t="s">
        <v>4</v>
      </c>
      <c r="E37" s="15" t="s">
        <v>16</v>
      </c>
      <c r="F37" s="15">
        <v>1</v>
      </c>
      <c r="G37" s="15" t="s">
        <v>134</v>
      </c>
    </row>
    <row r="38" spans="2:7" hidden="1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134</v>
      </c>
    </row>
    <row r="39" spans="2:7" hidden="1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134</v>
      </c>
    </row>
    <row r="40" spans="2:7" hidden="1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134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137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137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137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120</v>
      </c>
      <c r="D45" s="15" t="s">
        <v>137</v>
      </c>
      <c r="E45" s="15" t="s">
        <v>9</v>
      </c>
      <c r="F45" s="15">
        <v>0.25</v>
      </c>
      <c r="G45" s="15" t="s">
        <v>35</v>
      </c>
    </row>
    <row r="46" spans="2:7" hidden="1">
      <c r="B46" s="45" t="s">
        <v>114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134</v>
      </c>
    </row>
    <row r="47" spans="2:7" hidden="1">
      <c r="B47" s="45" t="s">
        <v>114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134</v>
      </c>
    </row>
    <row r="48" spans="2:7" hidden="1">
      <c r="B48" s="45" t="s">
        <v>114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134</v>
      </c>
    </row>
    <row r="49" spans="2:7" hidden="1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134</v>
      </c>
    </row>
    <row r="50" spans="2:7" hidden="1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134</v>
      </c>
    </row>
    <row r="51" spans="2:7">
      <c r="B51" s="45" t="s">
        <v>84</v>
      </c>
      <c r="C51" s="14" t="s">
        <v>88</v>
      </c>
      <c r="D51" s="15" t="s">
        <v>137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137</v>
      </c>
      <c r="E52" s="15" t="s">
        <v>9</v>
      </c>
      <c r="F52" s="15">
        <v>1</v>
      </c>
      <c r="G52" s="15" t="s">
        <v>35</v>
      </c>
    </row>
    <row r="53" spans="2:7">
      <c r="B53" s="45" t="s">
        <v>90</v>
      </c>
      <c r="C53" s="14" t="s">
        <v>91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90</v>
      </c>
      <c r="C54" s="14" t="s">
        <v>92</v>
      </c>
      <c r="D54" s="15" t="s">
        <v>4</v>
      </c>
      <c r="E54" s="15" t="s">
        <v>16</v>
      </c>
      <c r="F54" s="15">
        <v>0.5</v>
      </c>
      <c r="G54" s="15" t="s">
        <v>35</v>
      </c>
    </row>
    <row r="55" spans="2:7">
      <c r="B55" s="45" t="s">
        <v>90</v>
      </c>
      <c r="C55" s="14" t="s">
        <v>93</v>
      </c>
      <c r="D55" s="15" t="s">
        <v>4</v>
      </c>
      <c r="E55" s="15" t="s">
        <v>9</v>
      </c>
      <c r="F55" s="15">
        <v>0.25</v>
      </c>
      <c r="G55" s="15" t="s">
        <v>35</v>
      </c>
    </row>
    <row r="56" spans="2:7">
      <c r="B56" s="45" t="s">
        <v>90</v>
      </c>
      <c r="C56" s="14" t="s">
        <v>94</v>
      </c>
      <c r="D56" s="15" t="s">
        <v>4</v>
      </c>
      <c r="E56" s="15" t="s">
        <v>9</v>
      </c>
      <c r="F56" s="15">
        <v>0.5</v>
      </c>
      <c r="G56" s="15" t="s">
        <v>35</v>
      </c>
    </row>
    <row r="57" spans="2:7">
      <c r="B57" s="45" t="s">
        <v>90</v>
      </c>
      <c r="C57" s="14" t="s">
        <v>95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121</v>
      </c>
      <c r="D58" s="15" t="s">
        <v>4</v>
      </c>
      <c r="E58" s="15" t="s">
        <v>16</v>
      </c>
      <c r="F58" s="15">
        <v>0.25</v>
      </c>
      <c r="G58" s="15" t="s">
        <v>35</v>
      </c>
    </row>
    <row r="59" spans="2:7" hidden="1">
      <c r="B59" s="46" t="s">
        <v>98</v>
      </c>
      <c r="C59" s="14" t="s">
        <v>99</v>
      </c>
      <c r="D59" s="15" t="s">
        <v>4</v>
      </c>
      <c r="E59" s="15" t="s">
        <v>16</v>
      </c>
      <c r="F59" s="15">
        <v>1</v>
      </c>
      <c r="G59" s="15" t="s">
        <v>134</v>
      </c>
    </row>
    <row r="60" spans="2:7">
      <c r="B60" s="46" t="s">
        <v>98</v>
      </c>
      <c r="C60" s="14" t="s">
        <v>155</v>
      </c>
      <c r="D60" s="15" t="s">
        <v>4</v>
      </c>
      <c r="E60" s="15" t="s">
        <v>9</v>
      </c>
      <c r="F60" s="15">
        <v>5</v>
      </c>
      <c r="G60" s="15" t="s">
        <v>35</v>
      </c>
    </row>
    <row r="61" spans="2:7">
      <c r="B61" s="46" t="s">
        <v>46</v>
      </c>
      <c r="C61" s="14" t="s">
        <v>154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98</v>
      </c>
      <c r="C62" s="14" t="s">
        <v>153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100</v>
      </c>
      <c r="D63" s="15" t="s">
        <v>4</v>
      </c>
      <c r="E63" s="15" t="s">
        <v>9</v>
      </c>
      <c r="F63" s="15">
        <v>0.5</v>
      </c>
      <c r="G63" s="15" t="s">
        <v>35</v>
      </c>
    </row>
    <row r="64" spans="2:7">
      <c r="B64" s="46" t="s">
        <v>98</v>
      </c>
      <c r="C64" s="14" t="s">
        <v>103</v>
      </c>
      <c r="D64" s="15" t="s">
        <v>105</v>
      </c>
      <c r="E64" s="15" t="s">
        <v>9</v>
      </c>
      <c r="F64" s="15">
        <v>1</v>
      </c>
      <c r="G64" s="15" t="s">
        <v>35</v>
      </c>
    </row>
    <row r="65" spans="2:7">
      <c r="B65" s="47" t="s">
        <v>101</v>
      </c>
      <c r="C65" s="14" t="s">
        <v>102</v>
      </c>
      <c r="D65" s="15" t="s">
        <v>4</v>
      </c>
      <c r="E65" s="15" t="s">
        <v>9</v>
      </c>
      <c r="F65" s="15">
        <v>0.25</v>
      </c>
      <c r="G65" s="15" t="s">
        <v>35</v>
      </c>
    </row>
    <row r="66" spans="2:7">
      <c r="B66" s="47" t="s">
        <v>101</v>
      </c>
      <c r="C66" s="14" t="s">
        <v>104</v>
      </c>
      <c r="D66" s="15" t="s">
        <v>4</v>
      </c>
      <c r="E66" s="15" t="s">
        <v>9</v>
      </c>
      <c r="F66" s="15">
        <v>1</v>
      </c>
      <c r="G66" s="15" t="s">
        <v>35</v>
      </c>
    </row>
    <row r="67" spans="2:7" hidden="1">
      <c r="B67" s="47" t="s">
        <v>101</v>
      </c>
      <c r="C67" s="14" t="s">
        <v>141</v>
      </c>
      <c r="D67" s="15" t="s">
        <v>4</v>
      </c>
      <c r="E67" s="15" t="s">
        <v>16</v>
      </c>
      <c r="F67" s="15">
        <v>1</v>
      </c>
      <c r="G67" s="15" t="s">
        <v>134</v>
      </c>
    </row>
    <row r="68" spans="2:7">
      <c r="B68" s="47" t="s">
        <v>101</v>
      </c>
      <c r="C68" s="14" t="s">
        <v>142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 hidden="1">
      <c r="B69" s="54" t="s">
        <v>149</v>
      </c>
      <c r="C69" s="14" t="s">
        <v>150</v>
      </c>
      <c r="D69" s="15" t="s">
        <v>4</v>
      </c>
      <c r="E69" s="15" t="s">
        <v>16</v>
      </c>
      <c r="F69" s="15">
        <v>1</v>
      </c>
      <c r="G69" s="15" t="s">
        <v>134</v>
      </c>
    </row>
    <row r="70" spans="2:7" hidden="1">
      <c r="B70" s="54" t="s">
        <v>149</v>
      </c>
      <c r="C70" s="14" t="s">
        <v>151</v>
      </c>
      <c r="D70" s="15" t="s">
        <v>4</v>
      </c>
      <c r="E70" s="15" t="s">
        <v>16</v>
      </c>
      <c r="F70" s="15">
        <v>1</v>
      </c>
      <c r="G70" s="15" t="s">
        <v>134</v>
      </c>
    </row>
    <row r="71" spans="2:7" hidden="1">
      <c r="B71" s="54" t="s">
        <v>149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134</v>
      </c>
    </row>
    <row r="72" spans="2:7">
      <c r="B72" s="41" t="s">
        <v>116</v>
      </c>
      <c r="C72" s="14" t="s">
        <v>115</v>
      </c>
      <c r="D72" s="15" t="s">
        <v>4</v>
      </c>
      <c r="E72" s="15" t="s">
        <v>16</v>
      </c>
      <c r="F72" s="15">
        <v>0.5</v>
      </c>
      <c r="G72" s="15" t="s">
        <v>35</v>
      </c>
    </row>
    <row r="73" spans="2:7">
      <c r="B73" s="41" t="s">
        <v>116</v>
      </c>
      <c r="C73" s="14" t="s">
        <v>117</v>
      </c>
      <c r="D73" s="15" t="s">
        <v>4</v>
      </c>
      <c r="E73" s="15" t="s">
        <v>16</v>
      </c>
      <c r="F73" s="15">
        <v>0.25</v>
      </c>
      <c r="G73" s="15" t="s">
        <v>35</v>
      </c>
    </row>
    <row r="74" spans="2:7">
      <c r="B74" s="41" t="s">
        <v>116</v>
      </c>
      <c r="C74" s="14" t="s">
        <v>118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116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8" t="s">
        <v>106</v>
      </c>
      <c r="C76" s="14" t="s">
        <v>107</v>
      </c>
      <c r="D76" s="15" t="s">
        <v>4</v>
      </c>
      <c r="E76" s="15" t="s">
        <v>16</v>
      </c>
      <c r="F76" s="15">
        <v>0.5</v>
      </c>
      <c r="G76" s="15" t="s">
        <v>35</v>
      </c>
    </row>
    <row r="77" spans="2:7">
      <c r="B77" s="48" t="s">
        <v>106</v>
      </c>
      <c r="C77" s="14" t="s">
        <v>108</v>
      </c>
      <c r="D77" s="15" t="s">
        <v>4</v>
      </c>
      <c r="E77" s="15" t="s">
        <v>138</v>
      </c>
      <c r="F77" s="15">
        <v>0.25</v>
      </c>
      <c r="G77" s="15" t="s">
        <v>35</v>
      </c>
    </row>
    <row r="78" spans="2:7">
      <c r="B78" s="49" t="s">
        <v>122</v>
      </c>
      <c r="C78" s="14" t="s">
        <v>109</v>
      </c>
      <c r="D78" s="15" t="s">
        <v>4</v>
      </c>
      <c r="E78" s="15" t="s">
        <v>138</v>
      </c>
      <c r="F78" s="15">
        <v>1</v>
      </c>
      <c r="G78" s="15" t="s">
        <v>134</v>
      </c>
    </row>
    <row r="79" spans="2:7">
      <c r="B79" s="49" t="s">
        <v>122</v>
      </c>
      <c r="C79" s="14" t="s">
        <v>111</v>
      </c>
      <c r="D79" s="15" t="s">
        <v>4</v>
      </c>
      <c r="E79" s="15" t="s">
        <v>138</v>
      </c>
      <c r="F79" s="15">
        <v>1</v>
      </c>
      <c r="G79" s="15" t="s">
        <v>35</v>
      </c>
    </row>
    <row r="80" spans="2:7">
      <c r="B80" s="49" t="s">
        <v>122</v>
      </c>
      <c r="C80" s="14" t="s">
        <v>110</v>
      </c>
      <c r="D80" s="15" t="s">
        <v>4</v>
      </c>
      <c r="E80" s="15" t="s">
        <v>138</v>
      </c>
      <c r="F80" s="15">
        <v>1</v>
      </c>
      <c r="G80" s="15" t="s">
        <v>134</v>
      </c>
    </row>
    <row r="81" spans="2:7">
      <c r="B81" s="49" t="s">
        <v>122</v>
      </c>
      <c r="C81" s="14" t="s">
        <v>143</v>
      </c>
      <c r="D81" s="15" t="s">
        <v>4</v>
      </c>
      <c r="E81" s="15" t="s">
        <v>138</v>
      </c>
      <c r="F81" s="15">
        <v>1</v>
      </c>
      <c r="G81" s="15" t="s">
        <v>35</v>
      </c>
    </row>
    <row r="82" spans="2:7">
      <c r="B82" s="49" t="s">
        <v>122</v>
      </c>
      <c r="C82" s="14" t="s">
        <v>113</v>
      </c>
      <c r="D82" s="15" t="s">
        <v>4</v>
      </c>
      <c r="E82" s="15" t="s">
        <v>9</v>
      </c>
      <c r="F82" s="15">
        <v>1</v>
      </c>
      <c r="G82" s="15" t="s">
        <v>35</v>
      </c>
    </row>
    <row r="83" spans="2:7">
      <c r="B83" s="49" t="s">
        <v>122</v>
      </c>
      <c r="C83" s="14" t="s">
        <v>112</v>
      </c>
      <c r="D83" s="15" t="s">
        <v>4</v>
      </c>
      <c r="E83" s="15" t="s">
        <v>138</v>
      </c>
      <c r="F83" s="15">
        <v>1</v>
      </c>
      <c r="G83" s="15" t="s">
        <v>134</v>
      </c>
    </row>
    <row r="84" spans="2:7">
      <c r="B84" s="49" t="s">
        <v>122</v>
      </c>
      <c r="C84" s="14" t="s">
        <v>148</v>
      </c>
      <c r="D84" s="15" t="s">
        <v>4</v>
      </c>
      <c r="E84" s="15" t="s">
        <v>138</v>
      </c>
      <c r="F84" s="15">
        <v>1</v>
      </c>
      <c r="G84" s="15" t="s">
        <v>35</v>
      </c>
    </row>
    <row r="85" spans="2:7">
      <c r="B85" s="51" t="s">
        <v>126</v>
      </c>
      <c r="C85" s="14" t="s">
        <v>127</v>
      </c>
      <c r="D85" s="15" t="s">
        <v>4</v>
      </c>
      <c r="E85" s="15" t="s">
        <v>138</v>
      </c>
      <c r="F85" s="15">
        <v>1</v>
      </c>
      <c r="G85" s="15" t="s">
        <v>35</v>
      </c>
    </row>
    <row r="86" spans="2:7">
      <c r="B86" s="51" t="s">
        <v>126</v>
      </c>
      <c r="C86" s="14" t="s">
        <v>128</v>
      </c>
      <c r="D86" s="15" t="s">
        <v>4</v>
      </c>
      <c r="E86" s="15" t="s">
        <v>138</v>
      </c>
      <c r="F86" s="15">
        <v>1</v>
      </c>
      <c r="G86" s="15" t="s">
        <v>35</v>
      </c>
    </row>
    <row r="87" spans="2:7">
      <c r="B87" s="51" t="s">
        <v>126</v>
      </c>
      <c r="C87" s="14" t="s">
        <v>129</v>
      </c>
      <c r="D87" s="15" t="s">
        <v>4</v>
      </c>
      <c r="E87" s="15" t="s">
        <v>138</v>
      </c>
      <c r="F87" s="15">
        <v>1</v>
      </c>
      <c r="G87" s="15" t="s">
        <v>35</v>
      </c>
    </row>
    <row r="88" spans="2:7" hidden="1">
      <c r="B88" s="52" t="s">
        <v>130</v>
      </c>
      <c r="C88" s="14" t="s">
        <v>131</v>
      </c>
      <c r="D88" s="15" t="s">
        <v>4</v>
      </c>
      <c r="E88" s="15" t="s">
        <v>16</v>
      </c>
      <c r="F88" s="15">
        <v>1</v>
      </c>
      <c r="G88" s="15" t="s">
        <v>134</v>
      </c>
    </row>
    <row r="89" spans="2:7" hidden="1">
      <c r="B89" s="52" t="s">
        <v>130</v>
      </c>
      <c r="C89" s="14" t="s">
        <v>132</v>
      </c>
      <c r="D89" s="15" t="s">
        <v>4</v>
      </c>
      <c r="E89" s="15" t="s">
        <v>16</v>
      </c>
      <c r="F89" s="15">
        <v>0.5</v>
      </c>
      <c r="G89" s="15" t="s">
        <v>134</v>
      </c>
    </row>
    <row r="90" spans="2:7" hidden="1">
      <c r="B90" s="52" t="s">
        <v>130</v>
      </c>
      <c r="C90" s="14" t="s">
        <v>133</v>
      </c>
      <c r="D90" s="15" t="s">
        <v>4</v>
      </c>
      <c r="E90" s="15" t="s">
        <v>16</v>
      </c>
      <c r="F90" s="15">
        <v>0.5</v>
      </c>
      <c r="G90" s="15" t="s">
        <v>134</v>
      </c>
    </row>
    <row r="91" spans="2:7">
      <c r="B91" s="52" t="s">
        <v>130</v>
      </c>
      <c r="C91" s="14" t="s">
        <v>139</v>
      </c>
      <c r="D91" s="15" t="s">
        <v>4</v>
      </c>
      <c r="E91" s="15" t="s">
        <v>9</v>
      </c>
      <c r="F91" s="15">
        <v>0.25</v>
      </c>
      <c r="G91" s="15" t="s">
        <v>35</v>
      </c>
    </row>
    <row r="92" spans="2:7" hidden="1">
      <c r="B92" s="53" t="s">
        <v>140</v>
      </c>
      <c r="C92" s="14" t="s">
        <v>144</v>
      </c>
      <c r="D92" s="15" t="s">
        <v>4</v>
      </c>
      <c r="E92" s="15" t="s">
        <v>9</v>
      </c>
      <c r="F92" s="15">
        <v>0.5</v>
      </c>
      <c r="G92" s="15" t="s">
        <v>134</v>
      </c>
    </row>
    <row r="93" spans="2:7" hidden="1">
      <c r="B93" s="53" t="s">
        <v>140</v>
      </c>
      <c r="C93" s="14" t="s">
        <v>145</v>
      </c>
      <c r="D93" s="15" t="s">
        <v>4</v>
      </c>
      <c r="E93" s="15" t="s">
        <v>9</v>
      </c>
      <c r="F93" s="15">
        <v>0.5</v>
      </c>
      <c r="G93" s="15" t="s">
        <v>134</v>
      </c>
    </row>
    <row r="94" spans="2:7">
      <c r="B94" s="53" t="s">
        <v>140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35</v>
      </c>
    </row>
    <row r="95" spans="2:7" hidden="1"/>
    <row r="96" spans="2:7" hidden="1"/>
    <row r="97" spans="3:3" hidden="1"/>
    <row r="98" spans="3:3" hidden="1"/>
    <row r="99" spans="3:3" hidden="1"/>
    <row r="100" spans="3:3" hidden="1"/>
    <row r="101" spans="3:3" hidden="1"/>
    <row r="102" spans="3:3" hidden="1"/>
    <row r="103" spans="3:3" hidden="1"/>
    <row r="104" spans="3:3" hidden="1"/>
    <row r="105" spans="3:3" hidden="1"/>
    <row r="106" spans="3:3" hidden="1">
      <c r="C106" s="18"/>
    </row>
    <row r="107" spans="3:3" hidden="1"/>
    <row r="108" spans="3:3" hidden="1"/>
    <row r="109" spans="3:3" hidden="1"/>
    <row r="110" spans="3:3" hidden="1"/>
    <row r="111" spans="3:3" hidden="1"/>
    <row r="112" spans="3:3" hidden="1"/>
    <row r="113" spans="7:7" hidden="1"/>
    <row r="114" spans="7:7" hidden="1"/>
    <row r="115" spans="7:7">
      <c r="G115" s="40"/>
    </row>
  </sheetData>
  <autoFilter ref="C2:G114" xr:uid="{00000000-0001-0000-0000-000000000000}">
    <filterColumn colId="4">
      <filters>
        <filter val="未着手"/>
      </filters>
    </filterColumn>
  </autoFilter>
  <phoneticPr fontId="1"/>
  <dataValidations count="3">
    <dataValidation type="list" allowBlank="1" showInputMessage="1" showErrorMessage="1" sqref="D3:D114" xr:uid="{AF10AFEC-2E3A-4CB7-ABD8-6255C47E78C2}">
      <formula1>"S,A,B,C"</formula1>
    </dataValidation>
    <dataValidation type="list" allowBlank="1" showInputMessage="1" showErrorMessage="1" sqref="E3:E114" xr:uid="{8982FD40-CA4D-4B92-93FE-B37B6B67ACD6}">
      <formula1>"プロト,アルファ,ベータ,マスタ"</formula1>
    </dataValidation>
    <dataValidation type="list" allowBlank="1" showInputMessage="1" showErrorMessage="1" sqref="G3:G11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2025-11-04T02:35:13Z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