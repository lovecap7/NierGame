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lovecap\Documents\GitHub\NierGame\"/>
    </mc:Choice>
  </mc:AlternateContent>
  <xr:revisionPtr revIDLastSave="0" documentId="13_ncr:1_{D88E2518-EC12-4FE3-B799-9D1ABD5AE2C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作業工数見積もり!$C$2:$H$96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5" l="1"/>
  <c r="C11" i="5"/>
  <c r="C10" i="5"/>
  <c r="D10" i="5" l="1"/>
  <c r="K8" i="1"/>
  <c r="K11" i="1"/>
  <c r="K12" i="1" s="1"/>
  <c r="C3" i="5"/>
  <c r="K9" i="1"/>
  <c r="K7" i="1"/>
  <c r="K6" i="1"/>
  <c r="K5" i="1"/>
  <c r="K4" i="1"/>
  <c r="C4" i="5"/>
  <c r="C6" i="5"/>
  <c r="C7" i="5"/>
  <c r="C5" i="5" s="1"/>
  <c r="D11" i="5"/>
  <c r="D12" i="5"/>
  <c r="K3" i="1" l="1"/>
  <c r="L7" i="1" s="1"/>
  <c r="E12" i="5"/>
  <c r="D5" i="5"/>
  <c r="E10" i="5"/>
  <c r="E11" i="5"/>
  <c r="L8" i="1" l="1"/>
</calcChain>
</file>

<file path=xl/sharedStrings.xml><?xml version="1.0" encoding="utf-8"?>
<sst xmlns="http://schemas.openxmlformats.org/spreadsheetml/2006/main" count="228" uniqueCount="83">
  <si>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</si>
  <si>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</si>
  <si>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</si>
  <si>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実コスト</t>
    <rPh sb="0" eb="1">
      <t>ジツ</t>
    </rPh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</si>
  <si>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</si>
  <si>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</si>
  <si>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</si>
  <si>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</si>
  <si>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</si>
  <si>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</si>
  <si>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</si>
  <si>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</si>
  <si>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</si>
  <si>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</si>
  <si>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</si>
  <si>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</si>
  <si>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</si>
  <si>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</si>
  <si>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</si>
  <si>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</si>
  <si>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</si>
  <si>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</si>
  <si>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</si>
  <si>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</si>
  <si>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</si>
  <si>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</si>
  <si>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</si>
  <si>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</si>
  <si>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</si>
  <si>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</si>
  <si>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</si>
  <si>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</si>
  <si>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</si>
  <si>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</si>
  <si>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</si>
  <si>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</si>
  <si>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</si>
  <si>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</si>
  <si>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</si>
  <si>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</si>
  <si>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</si>
  <si>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</si>
  <si>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</si>
  <si>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</si>
  <si>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</si>
  <si>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</si>
  <si>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</si>
  <si>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</si>
  <si>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</si>
  <si>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</si>
  <si>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</si>
  <si>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</si>
  <si>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</si>
  <si>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</si>
  <si>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</si>
  <si>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</si>
  <si>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</si>
  <si>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</si>
  <si>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</si>
  <si>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</si>
  <si>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ジャスト回避攻撃</t>
    <rPh sb="4" eb="6">
      <t>カイヒ</t>
    </rPh>
    <rPh sb="6" eb="8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</si>
  <si>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</si>
  <si>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</si>
  <si>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</si>
  <si>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</si>
  <si>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サブ締め攻撃(メイン攻撃中にサブ攻撃)</t>
    <rPh sb="2" eb="3">
      <t>シ</t>
    </rPh>
    <rPh sb="4" eb="6">
      <t>コウゲキ</t>
    </rPh>
    <rPh sb="10" eb="12">
      <t>コウゲキ</t>
    </rPh>
    <rPh sb="12" eb="13">
      <t>チュウ</t>
    </rPh>
    <rPh sb="16" eb="18">
      <t>コウゲキ</t>
    </rPh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</si>
  <si>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</si>
  <si>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</si>
  <si>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</si>
  <si>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</si>
  <si>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</si>
  <si>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</si>
  <si>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</si>
  <si>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</si>
  <si>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</si>
  <si>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</si>
  <si>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</si>
  <si>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</si>
  <si>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</si>
  <si>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</si>
  <si>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</si>
  <si>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レベル(最大99)</t>
    <rPh sb="4" eb="6">
      <t>サイダイ</t>
    </rPh>
    <phoneticPr fontId="1"/>
  </si>
  <si>
    <t>キャラクター共通</t>
    <rPh sb="6" eb="8">
      <t>キョウツウ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</si>
</sst>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50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6" fillId="14" borderId="11" xfId="0" applyFont="1" applyFill="1" applyBorder="1" applyAlignment="1">
      <alignment horizontal="center"/>
    </xf>
    <xf numFmtId="0" fontId="6" fillId="9" borderId="5" xfId="0" applyFont="1" applyFill="1" applyBorder="1"/>
    <xf numFmtId="0" fontId="6" fillId="9" borderId="12" xfId="0" applyFont="1" applyFill="1" applyBorder="1"/>
    <xf numFmtId="0" fontId="4" fillId="20" borderId="2" xfId="0" applyFont="1" applyFill="1" applyBorder="1"/>
    <xf numFmtId="0" fontId="6" fillId="9" borderId="4" xfId="0" applyFont="1" applyFill="1" applyBorder="1"/>
    <xf numFmtId="0" fontId="4" fillId="9" borderId="13" xfId="0" applyFont="1" applyFill="1" applyBorder="1"/>
    <xf numFmtId="0" fontId="8" fillId="0" borderId="14" xfId="0" applyFont="1" applyBorder="1"/>
    <xf numFmtId="0" fontId="8" fillId="0" borderId="15" xfId="0" applyFont="1" applyBorder="1"/>
    <xf numFmtId="0" fontId="8" fillId="0" borderId="0" xfId="0" applyFont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D4B7"/>
      <color rgb="FFFF6600"/>
      <color rgb="FF9933FF"/>
      <color rgb="FF33CCFF"/>
      <color rgb="FFFF3300"/>
      <color rgb="FF99CCFF"/>
      <color rgb="FF00FFFF"/>
      <color rgb="FFCCFF99"/>
      <color rgb="FF66FFCC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D21" sqref="D21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4</v>
      </c>
      <c r="C3">
        <f>SUM(作業工数見積もり!F3:F126)</f>
        <v>30.25</v>
      </c>
    </row>
    <row r="4" spans="2:5">
      <c r="B4" s="5" t="s">
        <v>6</v>
      </c>
      <c r="C4">
        <f>SUMIF(作業工数見積もり!H3:H53,"完了",作業工数見積もり!F3:F53)</f>
        <v>0</v>
      </c>
      <c r="D4" t="s">
        <v>7</v>
      </c>
    </row>
    <row r="5" spans="2:5">
      <c r="B5" s="6" t="s">
        <v>8</v>
      </c>
      <c r="C5" s="2">
        <f ca="1">NETWORKDAYS(C6,C7)</f>
        <v>227</v>
      </c>
      <c r="D5" s="3">
        <f ca="1" xml:space="preserve"> C4 / C5</f>
        <v>0</v>
      </c>
    </row>
    <row r="6" spans="2:5">
      <c r="B6" s="7" t="s">
        <v>9</v>
      </c>
      <c r="C6" s="1">
        <f>DATE(2024,11,7)</f>
        <v>45603</v>
      </c>
    </row>
    <row r="7" spans="2:5">
      <c r="B7" s="8" t="s">
        <v>11</v>
      </c>
      <c r="C7" s="1">
        <f ca="1">TODAY()</f>
        <v>45920</v>
      </c>
    </row>
    <row r="9" spans="2:5">
      <c r="D9" t="s">
        <v>12</v>
      </c>
      <c r="E9" t="s">
        <v>13</v>
      </c>
    </row>
    <row r="10" spans="2:5">
      <c r="B10" s="4" t="s">
        <v>14</v>
      </c>
      <c r="C10" s="1">
        <f>DATE(2025,1,20)</f>
        <v>45677</v>
      </c>
      <c r="D10" s="2">
        <f ca="1">NETWORKDAYS(TODAY(),C10)</f>
        <v>-175</v>
      </c>
      <c r="E10" s="3">
        <f ca="1">($C$3 - $C$4) / D10</f>
        <v>-0.17285714285714285</v>
      </c>
    </row>
    <row r="11" spans="2:5">
      <c r="B11" s="9" t="s">
        <v>15</v>
      </c>
      <c r="C11" s="1">
        <f>DATE(2025,1,30)</f>
        <v>45687</v>
      </c>
      <c r="D11" s="2">
        <f ca="1">NETWORKDAYS(TODAY(),C11)</f>
        <v>-167</v>
      </c>
      <c r="E11" s="3">
        <f ca="1">($C$3 - $C$4) / D11</f>
        <v>-0.18113772455089822</v>
      </c>
    </row>
    <row r="12" spans="2:5">
      <c r="B12" s="6" t="s">
        <v>16</v>
      </c>
      <c r="C12" s="1">
        <f>DATE(2025,2,1)</f>
        <v>45689</v>
      </c>
      <c r="D12" s="2">
        <f ca="1">NETWORKDAYS(TODAY(),C12)</f>
        <v>-165</v>
      </c>
      <c r="E12" s="3">
        <f ca="1">($C$3 - $C$4) / D12</f>
        <v>-0.18333333333333332</v>
      </c>
    </row>
    <row r="18" spans="2:4">
      <c r="B18" s="12" t="s">
        <v>1</v>
      </c>
      <c r="D18" t="s">
        <v>23</v>
      </c>
    </row>
    <row r="19" spans="2:4">
      <c r="B19" s="10" t="s">
        <v>19</v>
      </c>
      <c r="D19" t="s">
        <v>24</v>
      </c>
    </row>
    <row r="20" spans="2:4">
      <c r="B20" s="10" t="s">
        <v>20</v>
      </c>
      <c r="D20" t="s">
        <v>25</v>
      </c>
    </row>
    <row r="21" spans="2:4">
      <c r="B21" s="10" t="s">
        <v>21</v>
      </c>
      <c r="D21" t="s">
        <v>26</v>
      </c>
    </row>
    <row r="22" spans="2:4">
      <c r="B22" s="11" t="s">
        <v>22</v>
      </c>
      <c r="D22" t="s">
        <v>27</v>
      </c>
    </row>
    <row r="24" spans="2:4">
      <c r="B24" s="10" t="s">
        <v>28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29</v>
      </c>
      <c r="C26" s="13">
        <v>46021</v>
      </c>
    </row>
    <row r="27" spans="2:4">
      <c r="B27" s="10" t="s">
        <v>30</v>
      </c>
      <c r="C27" s="13">
        <v>45677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97"/>
  <sheetViews>
    <sheetView tabSelected="1" topLeftCell="A3" zoomScale="55" zoomScaleNormal="55" workbookViewId="0">
      <selection activeCell="C21" sqref="C21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5.375" style="15" bestFit="1" customWidth="1"/>
    <col min="8" max="8" width="29.5" style="15" bestFit="1" customWidth="1"/>
    <col min="9" max="9" width="7.25" style="14" customWidth="1"/>
    <col min="10" max="10" width="46.75" style="14" customWidth="1"/>
    <col min="11" max="11" width="11.25" style="14" bestFit="1" customWidth="1"/>
    <col min="12" max="12" width="16.5" style="14" customWidth="1"/>
    <col min="13" max="16384" width="9.75" style="14"/>
  </cols>
  <sheetData>
    <row r="2" spans="2:13" ht="33.75" thickBot="1">
      <c r="B2" s="16" t="s">
        <v>31</v>
      </c>
      <c r="C2" s="16" t="s">
        <v>32</v>
      </c>
      <c r="D2" s="17" t="s">
        <v>1</v>
      </c>
      <c r="E2" s="17" t="s">
        <v>2</v>
      </c>
      <c r="F2" s="17" t="s">
        <v>33</v>
      </c>
      <c r="G2" s="17" t="s">
        <v>3</v>
      </c>
      <c r="H2" s="17" t="s">
        <v>34</v>
      </c>
      <c r="L2" s="20"/>
    </row>
    <row r="3" spans="2:13">
      <c r="B3" s="21" t="s">
        <v>48</v>
      </c>
      <c r="C3" s="14" t="s">
        <v>35</v>
      </c>
      <c r="D3" s="15" t="s">
        <v>5</v>
      </c>
      <c r="E3" s="15" t="s">
        <v>10</v>
      </c>
      <c r="F3" s="15">
        <v>0.25</v>
      </c>
      <c r="G3" s="15">
        <v>0</v>
      </c>
      <c r="H3" s="15" t="s">
        <v>36</v>
      </c>
      <c r="I3" s="22"/>
      <c r="J3" s="23" t="s">
        <v>37</v>
      </c>
      <c r="K3" s="24">
        <f>SUM(K4,K5,K6)</f>
        <v>37</v>
      </c>
      <c r="L3" s="25"/>
      <c r="M3" s="26"/>
    </row>
    <row r="4" spans="2:13">
      <c r="B4" s="21" t="s">
        <v>48</v>
      </c>
      <c r="C4" s="14" t="s">
        <v>38</v>
      </c>
      <c r="D4" s="15" t="s">
        <v>5</v>
      </c>
      <c r="E4" s="15" t="s">
        <v>10</v>
      </c>
      <c r="F4" s="15">
        <v>0.25</v>
      </c>
      <c r="G4" s="15">
        <v>0</v>
      </c>
      <c r="H4" s="15" t="s">
        <v>36</v>
      </c>
      <c r="I4" s="22"/>
      <c r="J4" s="27" t="s">
        <v>28</v>
      </c>
      <c r="K4" s="28">
        <f>COUNTIF(E3:E94,J4)</f>
        <v>33</v>
      </c>
      <c r="L4" s="29"/>
      <c r="M4" s="26"/>
    </row>
    <row r="5" spans="2:13">
      <c r="B5" s="21" t="s">
        <v>48</v>
      </c>
      <c r="C5" s="14" t="s">
        <v>39</v>
      </c>
      <c r="D5" s="15" t="s">
        <v>5</v>
      </c>
      <c r="E5" s="15" t="s">
        <v>10</v>
      </c>
      <c r="F5" s="15">
        <v>0.25</v>
      </c>
      <c r="G5" s="15">
        <v>0</v>
      </c>
      <c r="H5" s="15" t="s">
        <v>36</v>
      </c>
      <c r="I5" s="22"/>
      <c r="J5" s="30" t="s">
        <v>0</v>
      </c>
      <c r="K5" s="28">
        <f>COUNTIF(E3:E94,J5)</f>
        <v>4</v>
      </c>
      <c r="L5" s="29"/>
      <c r="M5" s="26"/>
    </row>
    <row r="6" spans="2:13">
      <c r="B6" s="21" t="s">
        <v>48</v>
      </c>
      <c r="C6" s="14" t="s">
        <v>40</v>
      </c>
      <c r="D6" s="15" t="s">
        <v>5</v>
      </c>
      <c r="E6" s="15" t="s">
        <v>10</v>
      </c>
      <c r="F6" s="15">
        <v>0.5</v>
      </c>
      <c r="G6" s="15">
        <v>0</v>
      </c>
      <c r="H6" s="15" t="s">
        <v>36</v>
      </c>
      <c r="I6" s="22"/>
      <c r="J6" s="31" t="s">
        <v>29</v>
      </c>
      <c r="K6" s="28">
        <f>COUNTIF(E3:E94,J6)</f>
        <v>0</v>
      </c>
      <c r="L6" s="29"/>
      <c r="M6" s="26"/>
    </row>
    <row r="7" spans="2:13">
      <c r="B7" s="21" t="s">
        <v>48</v>
      </c>
      <c r="C7" s="14" t="s">
        <v>41</v>
      </c>
      <c r="D7" s="15" t="s">
        <v>5</v>
      </c>
      <c r="E7" s="15" t="s">
        <v>17</v>
      </c>
      <c r="F7" s="15">
        <v>1</v>
      </c>
      <c r="G7" s="15">
        <v>0</v>
      </c>
      <c r="H7" s="15" t="s">
        <v>36</v>
      </c>
      <c r="I7" s="22"/>
      <c r="J7" s="32" t="s">
        <v>18</v>
      </c>
      <c r="K7" s="28">
        <f>COUNTIF(H3:H94,J7)</f>
        <v>0</v>
      </c>
      <c r="L7" s="33">
        <f>K7/K3</f>
        <v>0</v>
      </c>
      <c r="M7" s="26"/>
    </row>
    <row r="8" spans="2:13">
      <c r="B8" s="21" t="s">
        <v>48</v>
      </c>
      <c r="C8" s="14" t="s">
        <v>47</v>
      </c>
      <c r="D8" s="15" t="s">
        <v>5</v>
      </c>
      <c r="E8" s="15" t="s">
        <v>17</v>
      </c>
      <c r="F8" s="15">
        <v>2</v>
      </c>
      <c r="G8" s="15">
        <v>0</v>
      </c>
      <c r="H8" s="15" t="s">
        <v>36</v>
      </c>
      <c r="I8" s="22"/>
      <c r="J8" s="34" t="s">
        <v>42</v>
      </c>
      <c r="K8" s="28">
        <f>COUNTIF(H3:H94,J8)</f>
        <v>37</v>
      </c>
      <c r="L8" s="35">
        <f>(K8+K9)/K3</f>
        <v>1</v>
      </c>
      <c r="M8" s="26"/>
    </row>
    <row r="9" spans="2:13">
      <c r="B9" s="36" t="s">
        <v>44</v>
      </c>
      <c r="C9" s="14" t="s">
        <v>49</v>
      </c>
      <c r="D9" s="15" t="s">
        <v>5</v>
      </c>
      <c r="E9" s="15" t="s">
        <v>17</v>
      </c>
      <c r="F9" s="15">
        <v>0.25</v>
      </c>
      <c r="G9" s="15">
        <v>0</v>
      </c>
      <c r="H9" s="15" t="s">
        <v>36</v>
      </c>
      <c r="I9" s="22"/>
      <c r="J9" s="37" t="s">
        <v>43</v>
      </c>
      <c r="K9" s="19">
        <f>COUNTIF(H3:H94,J9)</f>
        <v>0</v>
      </c>
      <c r="L9" s="29"/>
      <c r="M9" s="26"/>
    </row>
    <row r="10" spans="2:13">
      <c r="B10" s="36" t="s">
        <v>44</v>
      </c>
      <c r="C10" s="14" t="s">
        <v>53</v>
      </c>
      <c r="D10" s="15" t="s">
        <v>5</v>
      </c>
      <c r="E10" s="15" t="s">
        <v>17</v>
      </c>
      <c r="F10" s="15">
        <v>1</v>
      </c>
      <c r="G10" s="15">
        <v>0</v>
      </c>
      <c r="H10" s="15" t="s">
        <v>36</v>
      </c>
      <c r="I10" s="22"/>
      <c r="J10" s="38"/>
      <c r="K10" s="19"/>
      <c r="L10" s="29"/>
      <c r="M10" s="26"/>
    </row>
    <row r="11" spans="2:13">
      <c r="B11" s="36" t="s">
        <v>44</v>
      </c>
      <c r="C11" s="14" t="s">
        <v>50</v>
      </c>
      <c r="D11" s="15" t="s">
        <v>5</v>
      </c>
      <c r="E11" s="15" t="s">
        <v>17</v>
      </c>
      <c r="F11" s="15">
        <v>0.25</v>
      </c>
      <c r="G11" s="15">
        <v>0</v>
      </c>
      <c r="H11" s="15" t="s">
        <v>36</v>
      </c>
      <c r="I11" s="22"/>
      <c r="J11" s="39" t="s">
        <v>45</v>
      </c>
      <c r="K11" s="19">
        <f>SUM(F3:F94)</f>
        <v>30.25</v>
      </c>
      <c r="L11" s="29"/>
      <c r="M11" s="26"/>
    </row>
    <row r="12" spans="2:13" ht="33.75" thickBot="1">
      <c r="B12" s="36" t="s">
        <v>44</v>
      </c>
      <c r="C12" s="14" t="s">
        <v>51</v>
      </c>
      <c r="D12" s="15" t="s">
        <v>5</v>
      </c>
      <c r="E12" s="15" t="s">
        <v>17</v>
      </c>
      <c r="F12" s="15">
        <v>0.25</v>
      </c>
      <c r="G12" s="15">
        <v>0</v>
      </c>
      <c r="H12" s="15" t="s">
        <v>36</v>
      </c>
      <c r="I12" s="22"/>
      <c r="J12" s="41" t="s">
        <v>46</v>
      </c>
      <c r="K12" s="42">
        <f>8*K11</f>
        <v>242</v>
      </c>
      <c r="L12" s="43"/>
      <c r="M12" s="26"/>
    </row>
    <row r="13" spans="2:13" ht="35.25">
      <c r="B13" s="36" t="s">
        <v>44</v>
      </c>
      <c r="C13" s="14" t="s">
        <v>52</v>
      </c>
      <c r="D13" s="15" t="s">
        <v>5</v>
      </c>
      <c r="E13" s="15" t="s">
        <v>17</v>
      </c>
      <c r="F13" s="15">
        <v>1</v>
      </c>
      <c r="G13" s="15">
        <v>0</v>
      </c>
      <c r="H13" s="15" t="s">
        <v>36</v>
      </c>
      <c r="I13" s="22"/>
      <c r="J13" s="47" t="s">
        <v>25</v>
      </c>
      <c r="K13" s="45"/>
      <c r="L13" s="19"/>
      <c r="M13" s="26"/>
    </row>
    <row r="14" spans="2:13" ht="36" thickBot="1">
      <c r="B14" s="14" t="s">
        <v>82</v>
      </c>
      <c r="C14" s="14" t="s">
        <v>78</v>
      </c>
      <c r="D14" s="15" t="s">
        <v>5</v>
      </c>
      <c r="E14" s="15" t="s">
        <v>17</v>
      </c>
      <c r="F14" s="15">
        <v>0.25</v>
      </c>
      <c r="G14" s="15">
        <v>0</v>
      </c>
      <c r="H14" s="15" t="s">
        <v>36</v>
      </c>
      <c r="I14" s="22"/>
      <c r="J14" s="48" t="s">
        <v>26</v>
      </c>
      <c r="K14" s="26"/>
    </row>
    <row r="15" spans="2:13" ht="35.25">
      <c r="B15" s="14" t="s">
        <v>82</v>
      </c>
      <c r="C15" s="14" t="s">
        <v>79</v>
      </c>
      <c r="D15" s="15" t="s">
        <v>5</v>
      </c>
      <c r="E15" s="15" t="s">
        <v>17</v>
      </c>
      <c r="F15" s="15">
        <v>0.25</v>
      </c>
      <c r="G15" s="15">
        <v>0</v>
      </c>
      <c r="H15" s="15" t="s">
        <v>36</v>
      </c>
      <c r="I15" s="22"/>
      <c r="J15" s="49"/>
      <c r="K15" s="26"/>
    </row>
    <row r="16" spans="2:13" ht="35.25">
      <c r="B16" s="14" t="s">
        <v>82</v>
      </c>
      <c r="C16" s="14" t="s">
        <v>80</v>
      </c>
      <c r="D16" s="15" t="s">
        <v>5</v>
      </c>
      <c r="E16" s="15" t="s">
        <v>17</v>
      </c>
      <c r="F16" s="15">
        <v>0.25</v>
      </c>
      <c r="G16" s="15">
        <v>0</v>
      </c>
      <c r="H16" s="15" t="s">
        <v>36</v>
      </c>
      <c r="I16" s="22"/>
      <c r="J16" s="49"/>
      <c r="K16" s="26"/>
    </row>
    <row r="17" spans="2:11" ht="35.25">
      <c r="B17" s="14" t="s">
        <v>82</v>
      </c>
      <c r="C17" s="14" t="s">
        <v>81</v>
      </c>
      <c r="D17" s="15" t="s">
        <v>5</v>
      </c>
      <c r="E17" s="15" t="s">
        <v>17</v>
      </c>
      <c r="F17" s="15">
        <v>2</v>
      </c>
      <c r="G17" s="15">
        <v>0</v>
      </c>
      <c r="H17" s="15" t="s">
        <v>36</v>
      </c>
      <c r="I17" s="22"/>
      <c r="J17" s="49"/>
      <c r="K17" s="26"/>
    </row>
    <row r="18" spans="2:11" ht="35.25">
      <c r="B18" s="14" t="s">
        <v>54</v>
      </c>
      <c r="C18" s="14" t="s">
        <v>55</v>
      </c>
      <c r="D18" s="15" t="s">
        <v>5</v>
      </c>
      <c r="E18" s="15" t="s">
        <v>17</v>
      </c>
      <c r="F18" s="15">
        <v>0.25</v>
      </c>
      <c r="G18" s="15">
        <v>0</v>
      </c>
      <c r="H18" s="15" t="s">
        <v>36</v>
      </c>
      <c r="I18" s="22"/>
      <c r="J18" s="49"/>
      <c r="K18" s="26"/>
    </row>
    <row r="19" spans="2:11">
      <c r="B19" s="14" t="s">
        <v>54</v>
      </c>
      <c r="C19" s="14" t="s">
        <v>72</v>
      </c>
      <c r="D19" s="15" t="s">
        <v>5</v>
      </c>
      <c r="E19" s="15" t="s">
        <v>17</v>
      </c>
      <c r="F19" s="15">
        <v>0.5</v>
      </c>
      <c r="G19" s="15">
        <v>0</v>
      </c>
      <c r="H19" s="15" t="s">
        <v>36</v>
      </c>
      <c r="J19" s="46"/>
    </row>
    <row r="20" spans="2:11">
      <c r="B20" s="14" t="s">
        <v>54</v>
      </c>
      <c r="C20" s="14" t="s">
        <v>73</v>
      </c>
      <c r="D20" s="15" t="s">
        <v>5</v>
      </c>
      <c r="E20" s="15" t="s">
        <v>17</v>
      </c>
      <c r="F20" s="15">
        <v>3</v>
      </c>
      <c r="G20" s="15">
        <v>0</v>
      </c>
      <c r="H20" s="15" t="s">
        <v>36</v>
      </c>
    </row>
    <row r="21" spans="2:11">
      <c r="B21" s="14" t="s">
        <v>54</v>
      </c>
      <c r="C21" s="14" t="s">
        <v>76</v>
      </c>
      <c r="D21" s="15" t="s">
        <v>5</v>
      </c>
      <c r="E21" s="15" t="s">
        <v>17</v>
      </c>
      <c r="F21" s="15">
        <v>0.5</v>
      </c>
      <c r="G21" s="15">
        <v>0</v>
      </c>
      <c r="H21" s="15" t="s">
        <v>36</v>
      </c>
    </row>
    <row r="22" spans="2:11">
      <c r="B22" s="14" t="s">
        <v>54</v>
      </c>
      <c r="C22" s="14" t="s">
        <v>70</v>
      </c>
      <c r="D22" s="15" t="s">
        <v>5</v>
      </c>
      <c r="E22" s="15" t="s">
        <v>17</v>
      </c>
      <c r="F22" s="15">
        <v>0.5</v>
      </c>
      <c r="G22" s="15">
        <v>0</v>
      </c>
      <c r="H22" s="15" t="s">
        <v>36</v>
      </c>
    </row>
    <row r="23" spans="2:11">
      <c r="B23" s="14" t="s">
        <v>54</v>
      </c>
      <c r="C23" s="14" t="s">
        <v>71</v>
      </c>
      <c r="D23" s="15" t="s">
        <v>5</v>
      </c>
      <c r="E23" s="15" t="s">
        <v>17</v>
      </c>
      <c r="F23" s="15">
        <v>0.25</v>
      </c>
      <c r="G23" s="15">
        <v>0</v>
      </c>
      <c r="H23" s="15" t="s">
        <v>36</v>
      </c>
    </row>
    <row r="24" spans="2:11">
      <c r="B24" s="14" t="s">
        <v>54</v>
      </c>
      <c r="C24" s="14" t="s">
        <v>75</v>
      </c>
      <c r="D24" s="15" t="s">
        <v>5</v>
      </c>
      <c r="E24" s="15" t="s">
        <v>17</v>
      </c>
      <c r="F24" s="15">
        <v>0.25</v>
      </c>
      <c r="G24" s="15">
        <v>0</v>
      </c>
      <c r="H24" s="15" t="s">
        <v>36</v>
      </c>
    </row>
    <row r="25" spans="2:11">
      <c r="B25" s="14" t="s">
        <v>54</v>
      </c>
      <c r="C25" s="14" t="s">
        <v>77</v>
      </c>
      <c r="D25" s="15" t="s">
        <v>5</v>
      </c>
      <c r="E25" s="15" t="s">
        <v>17</v>
      </c>
      <c r="F25" s="15">
        <v>0.25</v>
      </c>
      <c r="G25" s="15">
        <v>0</v>
      </c>
      <c r="H25" s="15" t="s">
        <v>36</v>
      </c>
    </row>
    <row r="26" spans="2:11">
      <c r="B26" s="14" t="s">
        <v>54</v>
      </c>
      <c r="C26" s="44" t="s">
        <v>56</v>
      </c>
      <c r="D26" s="15" t="s">
        <v>5</v>
      </c>
      <c r="E26" s="15" t="s">
        <v>17</v>
      </c>
      <c r="F26" s="15">
        <v>2</v>
      </c>
      <c r="G26" s="15">
        <v>0</v>
      </c>
      <c r="H26" s="15" t="s">
        <v>36</v>
      </c>
    </row>
    <row r="27" spans="2:11">
      <c r="B27" s="14" t="s">
        <v>54</v>
      </c>
      <c r="C27" s="44" t="s">
        <v>57</v>
      </c>
      <c r="D27" s="15" t="s">
        <v>5</v>
      </c>
      <c r="E27" s="15" t="s">
        <v>17</v>
      </c>
      <c r="F27" s="15">
        <v>1</v>
      </c>
      <c r="G27" s="15">
        <v>0</v>
      </c>
      <c r="H27" s="15" t="s">
        <v>36</v>
      </c>
    </row>
    <row r="28" spans="2:11">
      <c r="B28" s="14" t="s">
        <v>54</v>
      </c>
      <c r="C28" s="44" t="s">
        <v>74</v>
      </c>
      <c r="D28" s="15" t="s">
        <v>5</v>
      </c>
      <c r="E28" s="15" t="s">
        <v>17</v>
      </c>
      <c r="F28" s="15">
        <v>1</v>
      </c>
      <c r="G28" s="15">
        <v>0</v>
      </c>
      <c r="H28" s="15" t="s">
        <v>36</v>
      </c>
    </row>
    <row r="29" spans="2:11">
      <c r="B29" s="14" t="s">
        <v>54</v>
      </c>
      <c r="C29" s="44" t="s">
        <v>58</v>
      </c>
      <c r="D29" s="15" t="s">
        <v>5</v>
      </c>
      <c r="E29" s="15" t="s">
        <v>17</v>
      </c>
      <c r="F29" s="15">
        <v>1</v>
      </c>
      <c r="G29" s="15">
        <v>0</v>
      </c>
      <c r="H29" s="15" t="s">
        <v>36</v>
      </c>
    </row>
    <row r="30" spans="2:11">
      <c r="B30" s="14" t="s">
        <v>54</v>
      </c>
      <c r="C30" s="44" t="s">
        <v>59</v>
      </c>
      <c r="D30" s="15" t="s">
        <v>5</v>
      </c>
      <c r="E30" s="15" t="s">
        <v>17</v>
      </c>
      <c r="F30" s="15">
        <v>1</v>
      </c>
      <c r="G30" s="15">
        <v>0</v>
      </c>
      <c r="H30" s="15" t="s">
        <v>36</v>
      </c>
    </row>
    <row r="31" spans="2:11">
      <c r="B31" s="14" t="s">
        <v>54</v>
      </c>
      <c r="C31" s="44" t="s">
        <v>60</v>
      </c>
      <c r="D31" s="15" t="s">
        <v>5</v>
      </c>
      <c r="E31" s="15" t="s">
        <v>17</v>
      </c>
      <c r="F31" s="15">
        <v>1</v>
      </c>
      <c r="G31" s="15">
        <v>0</v>
      </c>
      <c r="H31" s="15" t="s">
        <v>36</v>
      </c>
    </row>
    <row r="32" spans="2:11">
      <c r="B32" s="14" t="s">
        <v>54</v>
      </c>
      <c r="C32" s="44" t="s">
        <v>61</v>
      </c>
      <c r="D32" s="15" t="s">
        <v>5</v>
      </c>
      <c r="E32" s="15" t="s">
        <v>17</v>
      </c>
      <c r="F32" s="15">
        <v>1</v>
      </c>
      <c r="G32" s="15">
        <v>0</v>
      </c>
      <c r="H32" s="15" t="s">
        <v>36</v>
      </c>
    </row>
    <row r="33" spans="2:8">
      <c r="B33" s="14" t="s">
        <v>54</v>
      </c>
      <c r="C33" s="44" t="s">
        <v>62</v>
      </c>
      <c r="D33" s="15" t="s">
        <v>5</v>
      </c>
      <c r="E33" s="15" t="s">
        <v>17</v>
      </c>
      <c r="F33" s="15">
        <v>1</v>
      </c>
      <c r="G33" s="15">
        <v>0</v>
      </c>
      <c r="H33" s="15" t="s">
        <v>36</v>
      </c>
    </row>
    <row r="34" spans="2:8">
      <c r="B34" s="14" t="s">
        <v>54</v>
      </c>
      <c r="C34" s="44" t="s">
        <v>65</v>
      </c>
      <c r="D34" s="15" t="s">
        <v>5</v>
      </c>
      <c r="E34" s="15" t="s">
        <v>17</v>
      </c>
      <c r="F34" s="15">
        <v>1</v>
      </c>
      <c r="G34" s="15">
        <v>0</v>
      </c>
      <c r="H34" s="15" t="s">
        <v>36</v>
      </c>
    </row>
    <row r="35" spans="2:8">
      <c r="B35" s="14" t="s">
        <v>64</v>
      </c>
      <c r="C35" s="14" t="s">
        <v>63</v>
      </c>
      <c r="D35" s="15" t="s">
        <v>5</v>
      </c>
      <c r="E35" s="15" t="s">
        <v>17</v>
      </c>
      <c r="F35" s="15">
        <v>1</v>
      </c>
      <c r="G35" s="15">
        <v>0</v>
      </c>
      <c r="H35" s="15" t="s">
        <v>36</v>
      </c>
    </row>
    <row r="36" spans="2:8">
      <c r="B36" s="14" t="s">
        <v>64</v>
      </c>
      <c r="C36" s="14" t="s">
        <v>66</v>
      </c>
      <c r="D36" s="15" t="s">
        <v>5</v>
      </c>
      <c r="E36" s="15" t="s">
        <v>17</v>
      </c>
      <c r="F36" s="15">
        <v>1</v>
      </c>
      <c r="G36" s="15">
        <v>0</v>
      </c>
      <c r="H36" s="15" t="s">
        <v>36</v>
      </c>
    </row>
    <row r="37" spans="2:8">
      <c r="B37" s="14" t="s">
        <v>64</v>
      </c>
      <c r="C37" s="14" t="s">
        <v>67</v>
      </c>
      <c r="D37" s="15" t="s">
        <v>5</v>
      </c>
      <c r="E37" s="15" t="s">
        <v>17</v>
      </c>
      <c r="F37" s="15">
        <v>1</v>
      </c>
      <c r="G37" s="15">
        <v>0</v>
      </c>
      <c r="H37" s="15" t="s">
        <v>36</v>
      </c>
    </row>
    <row r="38" spans="2:8">
      <c r="B38" s="14" t="s">
        <v>64</v>
      </c>
      <c r="C38" s="14" t="s">
        <v>68</v>
      </c>
      <c r="D38" s="15" t="s">
        <v>5</v>
      </c>
      <c r="E38" s="15" t="s">
        <v>17</v>
      </c>
      <c r="F38" s="15">
        <v>1</v>
      </c>
      <c r="G38" s="15">
        <v>0</v>
      </c>
      <c r="H38" s="15" t="s">
        <v>36</v>
      </c>
    </row>
    <row r="39" spans="2:8">
      <c r="B39" s="14" t="s">
        <v>64</v>
      </c>
      <c r="C39" s="14" t="s">
        <v>69</v>
      </c>
      <c r="D39" s="15" t="s">
        <v>5</v>
      </c>
      <c r="E39" s="15" t="s">
        <v>17</v>
      </c>
      <c r="F39" s="15">
        <v>1</v>
      </c>
      <c r="G39" s="15">
        <v>0</v>
      </c>
      <c r="H39" s="15" t="s">
        <v>36</v>
      </c>
    </row>
    <row r="88" spans="3:3">
      <c r="C88" s="18"/>
    </row>
    <row r="97" spans="8:8">
      <c r="H97" s="40"/>
    </row>
  </sheetData>
  <autoFilter ref="C2:H96" xr:uid="{00000000-0001-0000-0000-000000000000}"/>
  <phoneticPr fontId="1"/>
  <dataValidations count="3">
    <dataValidation type="list" allowBlank="1" showInputMessage="1" showErrorMessage="1" sqref="D3:D96" xr:uid="{AF10AFEC-2E3A-4CB7-ABD8-6255C47E78C2}">
      <formula1>"S,A,B,C"</formula1>
    </dataValidation>
    <dataValidation type="list" allowBlank="1" showInputMessage="1" showErrorMessage="1" sqref="E3:E96" xr:uid="{8982FD40-CA4D-4B92-93FE-B37B6B67ACD6}">
      <formula1>"プロト,アルファ,ベータ,マスタ"</formula1>
    </dataValidation>
    <dataValidation type="list" allowBlank="1" showInputMessage="1" showErrorMessage="1" sqref="H3:H96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恋 井上</cp:lastModifiedBy>
  <cp:revision/>
  <dcterms:created xsi:type="dcterms:W3CDTF">2015-06-05T18:19:34Z</dcterms:created>
  <dcterms:modified xsi:type="dcterms:W3CDTF">2025-09-20T00:50:47Z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