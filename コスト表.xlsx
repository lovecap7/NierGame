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7202D4F6-01E7-4473-91A9-1D419EE016A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5" l="1"/>
  <c r="C3" i="5"/>
  <c r="C7" i="5"/>
  <c r="J9" i="1"/>
  <c r="C12" i="5"/>
  <c r="C11" i="5"/>
  <c r="C10" i="5"/>
  <c r="D10" i="5"/>
  <c r="J10" i="1" l="1"/>
  <c r="J13" i="1"/>
  <c r="J14" i="1" s="1"/>
  <c r="J11" i="1"/>
  <c r="J8" i="1"/>
  <c r="J7" i="1"/>
  <c r="J6" i="1"/>
  <c r="C4" i="5"/>
  <c r="E10" i="5" s="1"/>
  <c r="C5" i="5"/>
  <c r="D11" i="5"/>
  <c r="D12" i="5"/>
  <c r="J5" i="1" l="1"/>
  <c r="K9" i="1" s="1"/>
  <c r="E12" i="5"/>
  <c r="D5" i="5"/>
  <c r="E11" i="5"/>
  <c r="K10" i="1" l="1"/>
</calcChain>
</file>

<file path=xl/sharedStrings.xml><?xml version="1.0" encoding="utf-8"?>
<sst xmlns="http://schemas.openxmlformats.org/spreadsheetml/2006/main" count="507" uniqueCount="159">
  <si>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</si>
  <si>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</si>
  <si>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</si>
  <si>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</si>
  <si>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</si>
  <si>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</si>
  <si>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</si>
  <si>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</si>
  <si>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</si>
  <si>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</si>
  <si>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</si>
  <si>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</si>
  <si>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</si>
  <si>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</si>
  <si>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</si>
  <si>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</si>
  <si>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</si>
  <si>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</si>
  <si>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</si>
  <si>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</si>
  <si>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</si>
  <si>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</si>
  <si>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</si>
  <si>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</si>
  <si>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</si>
  <si>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</si>
  <si>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</si>
  <si>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</si>
  <si>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</si>
  <si>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</si>
  <si>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</si>
  <si>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</si>
  <si>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</si>
  <si>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</si>
  <si>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</si>
  <si>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</si>
  <si>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</si>
  <si>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</si>
  <si>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</si>
  <si>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</si>
  <si>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</si>
  <si>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</si>
  <si>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</si>
  <si>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</si>
  <si>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</si>
  <si>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</si>
  <si>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</si>
  <si>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</si>
  <si>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</si>
  <si>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</si>
  <si>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</si>
  <si>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</si>
  <si>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</si>
  <si>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</si>
  <si>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</si>
  <si>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</si>
  <si>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</si>
  <si>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</si>
  <si>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</si>
  <si>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</si>
  <si>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</si>
  <si>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</si>
  <si>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</si>
  <si>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</si>
  <si>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</si>
  <si>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</si>
  <si>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</si>
  <si>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</si>
  <si>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</si>
  <si>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</si>
  <si>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</si>
  <si>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</si>
  <si>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</si>
  <si>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</si>
  <si>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</si>
  <si>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</si>
  <si>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</si>
  <si>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</si>
  <si>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</si>
  <si>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</si>
  <si>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</si>
  <si>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</si>
  <si>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</si>
  <si>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</si>
  <si>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</si>
  <si>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</si>
  <si>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</si>
  <si>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</si>
  <si>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</si>
  <si>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</si>
  <si>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</si>
  <si>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</si>
  <si>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</si>
  <si>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</si>
  <si>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</si>
  <si>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</si>
  <si>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</si>
  <si>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</si>
  <si>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</si>
  <si>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</si>
  <si>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</si>
  <si>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</si>
  <si>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</si>
  <si>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</si>
  <si>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</si>
  <si>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</si>
  <si>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</si>
  <si>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</si>
  <si>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</si>
  <si>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</si>
  <si>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</si>
  <si>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</si>
  <si>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</si>
  <si>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</si>
  <si>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</si>
  <si>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</si>
  <si>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</si>
  <si>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</si>
  <si>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</si>
  <si>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</si>
  <si>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</si>
  <si>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</si>
  <si>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</si>
  <si>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</si>
  <si>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</si>
  <si>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</si>
  <si>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</si>
  <si>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</si>
  <si>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</si>
  <si>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</si>
  <si>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</si>
  <si>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</si>
  <si>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</si>
  <si>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</si>
  <si>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</si>
  <si>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</si>
  <si>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</si>
  <si>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</si>
  <si>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</si>
  <si>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</si>
  <si>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</si>
  <si>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</si>
  <si>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</si>
  <si>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</si>
  <si>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</si>
  <si>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</si>
  <si>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</si>
  <si>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</si>
  <si>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</si>
  <si>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</si>
  <si>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</si>
  <si>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</si>
  <si>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</si>
  <si>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</si>
  <si>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</si>
  <si>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</si>
  <si>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</si>
  <si>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</si>
  <si>
    <t>チュートリアルシーン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</si>
</sst>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E23" sqref="E23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SUM(作業工数見積もり!F5:F145)</f>
        <v>76.75</v>
      </c>
    </row>
    <row r="4" spans="2:5">
      <c r="B4" s="5" t="s">
        <v>5</v>
      </c>
      <c r="C4">
        <f>SUMIF(作業工数見積もり!G5:G65,"完了",作業工数見積もり!F5:F65)</f>
        <v>26.75</v>
      </c>
      <c r="D4" t="s">
        <v>6</v>
      </c>
    </row>
    <row r="5" spans="2:5">
      <c r="B5" s="6" t="s">
        <v>7</v>
      </c>
      <c r="C5" s="2">
        <f ca="1">NETWORKDAYS(C6,C7)</f>
        <v>28</v>
      </c>
      <c r="D5" s="3">
        <f ca="1" xml:space="preserve"> C4 / C5</f>
        <v>0.9553571428571429</v>
      </c>
    </row>
    <row r="6" spans="2:5">
      <c r="B6" s="7" t="s">
        <v>8</v>
      </c>
      <c r="C6" s="1">
        <f>DATE(2025,10,1)</f>
        <v>45931</v>
      </c>
    </row>
    <row r="7" spans="2:5">
      <c r="B7" s="8" t="s">
        <v>10</v>
      </c>
      <c r="C7" s="1">
        <f ca="1">TODAY()</f>
        <v>45969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52</v>
      </c>
      <c r="E10" s="3">
        <f ca="1">($C$3 - $C$4) / D10</f>
        <v>0.96153846153846156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60</v>
      </c>
      <c r="E11" s="3">
        <f ca="1">($C$3 - $C$4) / D11</f>
        <v>0.83333333333333337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60</v>
      </c>
      <c r="E12" s="3">
        <f ca="1">($C$3 - $C$4) / D12</f>
        <v>0.83333333333333337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6"/>
  <sheetViews>
    <sheetView tabSelected="1" topLeftCell="A69" zoomScale="55" zoomScaleNormal="55" workbookViewId="0">
      <selection activeCell="G83" sqref="G83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123</v>
      </c>
      <c r="C3" s="14" t="s">
        <v>125</v>
      </c>
      <c r="D3" s="15" t="s">
        <v>4</v>
      </c>
      <c r="E3" s="15" t="s">
        <v>16</v>
      </c>
      <c r="F3" s="15">
        <v>2</v>
      </c>
      <c r="G3" s="15" t="s">
        <v>134</v>
      </c>
    </row>
    <row r="4" spans="2:13" ht="33.75" thickBot="1">
      <c r="B4" s="50" t="s">
        <v>123</v>
      </c>
      <c r="C4" s="14" t="s">
        <v>124</v>
      </c>
      <c r="D4" s="15" t="s">
        <v>4</v>
      </c>
      <c r="E4" s="15" t="s">
        <v>16</v>
      </c>
      <c r="F4" s="15">
        <v>2</v>
      </c>
      <c r="G4" s="15" t="s">
        <v>134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91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COUNTIF(E5:E113,I6)</f>
        <v>56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COUNTIF(E5:E113,I7)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COUNTIF(E5:E113,I8)</f>
        <v>11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134</v>
      </c>
      <c r="H9" s="22"/>
      <c r="I9" s="32" t="s">
        <v>17</v>
      </c>
      <c r="J9" s="28">
        <f>COUNTIF(G5:G113,I9)</f>
        <v>49</v>
      </c>
      <c r="K9" s="33">
        <f>J9/J5</f>
        <v>0.53846153846153844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COUNTIF(G5:G113,I10)</f>
        <v>42</v>
      </c>
      <c r="K10" s="35">
        <f>(J10+J11)/J5</f>
        <v>0.46153846153846156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134</v>
      </c>
      <c r="H11" s="22"/>
      <c r="I11" s="37" t="s">
        <v>42</v>
      </c>
      <c r="J11" s="19">
        <f>COUNTIF(G5:G113,I11)</f>
        <v>0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134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134</v>
      </c>
      <c r="H13" s="22"/>
      <c r="I13" s="39" t="s">
        <v>44</v>
      </c>
      <c r="J13" s="19">
        <f>SUM(F5:F113)</f>
        <v>76.75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134</v>
      </c>
      <c r="H14" s="22"/>
      <c r="I14" s="57" t="s">
        <v>45</v>
      </c>
      <c r="J14" s="19">
        <f>8*J13</f>
        <v>614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134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135</v>
      </c>
      <c r="D16" s="15" t="s">
        <v>4</v>
      </c>
      <c r="E16" s="15" t="s">
        <v>16</v>
      </c>
      <c r="F16" s="15">
        <v>1</v>
      </c>
      <c r="G16" s="15" t="s">
        <v>134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136</v>
      </c>
      <c r="D17" s="15" t="s">
        <v>4</v>
      </c>
      <c r="E17" s="15" t="s">
        <v>16</v>
      </c>
      <c r="F17" s="15">
        <v>1</v>
      </c>
      <c r="G17" s="15" t="s">
        <v>134</v>
      </c>
      <c r="I17" s="56"/>
      <c r="J17" s="42"/>
      <c r="K17" s="42"/>
      <c r="L17" s="42"/>
    </row>
    <row r="18" spans="2:12" ht="35.25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134</v>
      </c>
      <c r="I18" s="55"/>
    </row>
    <row r="19" spans="2:12" ht="35.25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134</v>
      </c>
      <c r="I19" s="55"/>
    </row>
    <row r="20" spans="2:12" ht="35.25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134</v>
      </c>
      <c r="I20" s="55"/>
    </row>
    <row r="21" spans="2:12" ht="35.25">
      <c r="B21" s="44" t="s">
        <v>78</v>
      </c>
      <c r="C21" s="14" t="s">
        <v>147</v>
      </c>
      <c r="D21" s="15" t="s">
        <v>4</v>
      </c>
      <c r="E21" s="15" t="s">
        <v>16</v>
      </c>
      <c r="F21" s="15">
        <v>0.25</v>
      </c>
      <c r="G21" s="15" t="s">
        <v>134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134</v>
      </c>
    </row>
    <row r="23" spans="2:12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134</v>
      </c>
    </row>
    <row r="24" spans="2:12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134</v>
      </c>
    </row>
    <row r="25" spans="2:12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134</v>
      </c>
    </row>
    <row r="26" spans="2:12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134</v>
      </c>
    </row>
    <row r="27" spans="2:12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134</v>
      </c>
    </row>
    <row r="28" spans="2:12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134</v>
      </c>
    </row>
    <row r="29" spans="2:12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134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134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134</v>
      </c>
    </row>
    <row r="33" spans="2:7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134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134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134</v>
      </c>
    </row>
    <row r="36" spans="2:7">
      <c r="B36" s="43" t="s">
        <v>53</v>
      </c>
      <c r="C36" s="41" t="s">
        <v>156</v>
      </c>
      <c r="D36" s="15" t="s">
        <v>4</v>
      </c>
      <c r="E36" s="15" t="s">
        <v>16</v>
      </c>
      <c r="F36" s="15">
        <v>1</v>
      </c>
      <c r="G36" s="15" t="s">
        <v>134</v>
      </c>
    </row>
    <row r="37" spans="2:7">
      <c r="B37" s="43" t="s">
        <v>53</v>
      </c>
      <c r="C37" s="41" t="s">
        <v>157</v>
      </c>
      <c r="D37" s="15" t="s">
        <v>4</v>
      </c>
      <c r="E37" s="15" t="s">
        <v>16</v>
      </c>
      <c r="F37" s="15">
        <v>1</v>
      </c>
      <c r="G37" s="15" t="s">
        <v>134</v>
      </c>
    </row>
    <row r="38" spans="2:7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134</v>
      </c>
    </row>
    <row r="39" spans="2:7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134</v>
      </c>
    </row>
    <row r="40" spans="2:7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134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137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137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137</v>
      </c>
      <c r="E44" s="15" t="s">
        <v>16</v>
      </c>
      <c r="F44" s="15">
        <v>0.5</v>
      </c>
      <c r="G44" s="15" t="s">
        <v>35</v>
      </c>
    </row>
    <row r="45" spans="2:7">
      <c r="B45" s="43" t="s">
        <v>53</v>
      </c>
      <c r="C45" s="14" t="s">
        <v>120</v>
      </c>
      <c r="D45" s="15" t="s">
        <v>137</v>
      </c>
      <c r="E45" s="15" t="s">
        <v>9</v>
      </c>
      <c r="F45" s="15">
        <v>0.25</v>
      </c>
      <c r="G45" s="15" t="s">
        <v>35</v>
      </c>
    </row>
    <row r="46" spans="2:7">
      <c r="B46" s="45" t="s">
        <v>114</v>
      </c>
      <c r="C46" s="14" t="s">
        <v>96</v>
      </c>
      <c r="D46" s="15" t="s">
        <v>4</v>
      </c>
      <c r="E46" s="15" t="s">
        <v>16</v>
      </c>
      <c r="F46" s="15">
        <v>0.5</v>
      </c>
      <c r="G46" s="15" t="s">
        <v>134</v>
      </c>
    </row>
    <row r="47" spans="2:7">
      <c r="B47" s="45" t="s">
        <v>114</v>
      </c>
      <c r="C47" s="14" t="s">
        <v>97</v>
      </c>
      <c r="D47" s="15" t="s">
        <v>4</v>
      </c>
      <c r="E47" s="15" t="s">
        <v>16</v>
      </c>
      <c r="F47" s="15">
        <v>0.5</v>
      </c>
      <c r="G47" s="15" t="s">
        <v>134</v>
      </c>
    </row>
    <row r="48" spans="2:7">
      <c r="B48" s="45" t="s">
        <v>114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134</v>
      </c>
    </row>
    <row r="49" spans="2:7">
      <c r="B49" s="45" t="s">
        <v>81</v>
      </c>
      <c r="C49" s="14" t="s">
        <v>86</v>
      </c>
      <c r="D49" s="15" t="s">
        <v>4</v>
      </c>
      <c r="E49" s="15" t="s">
        <v>16</v>
      </c>
      <c r="F49" s="15">
        <v>1</v>
      </c>
      <c r="G49" s="15" t="s">
        <v>134</v>
      </c>
    </row>
    <row r="50" spans="2:7">
      <c r="B50" s="45" t="s">
        <v>82</v>
      </c>
      <c r="C50" s="14" t="s">
        <v>87</v>
      </c>
      <c r="D50" s="15" t="s">
        <v>4</v>
      </c>
      <c r="E50" s="15" t="s">
        <v>16</v>
      </c>
      <c r="F50" s="15">
        <v>1</v>
      </c>
      <c r="G50" s="15" t="s">
        <v>134</v>
      </c>
    </row>
    <row r="51" spans="2:7">
      <c r="B51" s="45" t="s">
        <v>84</v>
      </c>
      <c r="C51" s="14" t="s">
        <v>88</v>
      </c>
      <c r="D51" s="15" t="s">
        <v>137</v>
      </c>
      <c r="E51" s="15" t="s">
        <v>9</v>
      </c>
      <c r="F51" s="15">
        <v>1</v>
      </c>
      <c r="G51" s="15" t="s">
        <v>35</v>
      </c>
    </row>
    <row r="52" spans="2:7">
      <c r="B52" s="45" t="s">
        <v>83</v>
      </c>
      <c r="C52" s="14" t="s">
        <v>89</v>
      </c>
      <c r="D52" s="15" t="s">
        <v>137</v>
      </c>
      <c r="E52" s="15" t="s">
        <v>9</v>
      </c>
      <c r="F52" s="15">
        <v>1</v>
      </c>
      <c r="G52" s="15" t="s">
        <v>35</v>
      </c>
    </row>
    <row r="53" spans="2:7">
      <c r="B53" s="45" t="s">
        <v>90</v>
      </c>
      <c r="C53" s="14" t="s">
        <v>91</v>
      </c>
      <c r="D53" s="15" t="s">
        <v>4</v>
      </c>
      <c r="E53" s="15" t="s">
        <v>16</v>
      </c>
      <c r="F53" s="15">
        <v>1</v>
      </c>
      <c r="G53" s="15" t="s">
        <v>35</v>
      </c>
    </row>
    <row r="54" spans="2:7">
      <c r="B54" s="45" t="s">
        <v>90</v>
      </c>
      <c r="C54" s="14" t="s">
        <v>92</v>
      </c>
      <c r="D54" s="15" t="s">
        <v>4</v>
      </c>
      <c r="E54" s="15" t="s">
        <v>16</v>
      </c>
      <c r="F54" s="15">
        <v>0.5</v>
      </c>
      <c r="G54" s="15" t="s">
        <v>35</v>
      </c>
    </row>
    <row r="55" spans="2:7">
      <c r="B55" s="45" t="s">
        <v>90</v>
      </c>
      <c r="C55" s="14" t="s">
        <v>93</v>
      </c>
      <c r="D55" s="15" t="s">
        <v>4</v>
      </c>
      <c r="E55" s="15" t="s">
        <v>9</v>
      </c>
      <c r="F55" s="15">
        <v>0.25</v>
      </c>
      <c r="G55" s="15" t="s">
        <v>35</v>
      </c>
    </row>
    <row r="56" spans="2:7">
      <c r="B56" s="45" t="s">
        <v>90</v>
      </c>
      <c r="C56" s="14" t="s">
        <v>94</v>
      </c>
      <c r="D56" s="15" t="s">
        <v>4</v>
      </c>
      <c r="E56" s="15" t="s">
        <v>9</v>
      </c>
      <c r="F56" s="15">
        <v>0.5</v>
      </c>
      <c r="G56" s="15" t="s">
        <v>35</v>
      </c>
    </row>
    <row r="57" spans="2:7">
      <c r="B57" s="45" t="s">
        <v>90</v>
      </c>
      <c r="C57" s="14" t="s">
        <v>95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>
      <c r="B58" s="45" t="s">
        <v>90</v>
      </c>
      <c r="C58" s="14" t="s">
        <v>121</v>
      </c>
      <c r="D58" s="15" t="s">
        <v>4</v>
      </c>
      <c r="E58" s="15" t="s">
        <v>16</v>
      </c>
      <c r="F58" s="15">
        <v>0.25</v>
      </c>
      <c r="G58" s="15" t="s">
        <v>35</v>
      </c>
    </row>
    <row r="59" spans="2:7">
      <c r="B59" s="46" t="s">
        <v>98</v>
      </c>
      <c r="C59" s="14" t="s">
        <v>99</v>
      </c>
      <c r="D59" s="15" t="s">
        <v>4</v>
      </c>
      <c r="E59" s="15" t="s">
        <v>16</v>
      </c>
      <c r="F59" s="15">
        <v>1</v>
      </c>
      <c r="G59" s="15" t="s">
        <v>134</v>
      </c>
    </row>
    <row r="60" spans="2:7">
      <c r="B60" s="46" t="s">
        <v>98</v>
      </c>
      <c r="C60" s="14" t="s">
        <v>155</v>
      </c>
      <c r="D60" s="15" t="s">
        <v>4</v>
      </c>
      <c r="E60" s="15" t="s">
        <v>9</v>
      </c>
      <c r="F60" s="15">
        <v>5</v>
      </c>
      <c r="G60" s="15" t="s">
        <v>35</v>
      </c>
    </row>
    <row r="61" spans="2:7">
      <c r="B61" s="46" t="s">
        <v>46</v>
      </c>
      <c r="C61" s="14" t="s">
        <v>154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>
      <c r="B62" s="46" t="s">
        <v>98</v>
      </c>
      <c r="C62" s="14" t="s">
        <v>153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>
      <c r="B63" s="46" t="s">
        <v>98</v>
      </c>
      <c r="C63" s="14" t="s">
        <v>100</v>
      </c>
      <c r="D63" s="15" t="s">
        <v>4</v>
      </c>
      <c r="E63" s="15" t="s">
        <v>9</v>
      </c>
      <c r="F63" s="15">
        <v>0.5</v>
      </c>
      <c r="G63" s="15" t="s">
        <v>35</v>
      </c>
    </row>
    <row r="64" spans="2:7">
      <c r="B64" s="46" t="s">
        <v>98</v>
      </c>
      <c r="C64" s="14" t="s">
        <v>103</v>
      </c>
      <c r="D64" s="15" t="s">
        <v>105</v>
      </c>
      <c r="E64" s="15" t="s">
        <v>9</v>
      </c>
      <c r="F64" s="15">
        <v>1</v>
      </c>
      <c r="G64" s="15" t="s">
        <v>35</v>
      </c>
    </row>
    <row r="65" spans="2:7">
      <c r="B65" s="47" t="s">
        <v>101</v>
      </c>
      <c r="C65" s="14" t="s">
        <v>102</v>
      </c>
      <c r="D65" s="15" t="s">
        <v>4</v>
      </c>
      <c r="E65" s="15" t="s">
        <v>9</v>
      </c>
      <c r="F65" s="15">
        <v>0.25</v>
      </c>
      <c r="G65" s="15" t="s">
        <v>35</v>
      </c>
    </row>
    <row r="66" spans="2:7">
      <c r="B66" s="47" t="s">
        <v>101</v>
      </c>
      <c r="C66" s="14" t="s">
        <v>104</v>
      </c>
      <c r="D66" s="15" t="s">
        <v>4</v>
      </c>
      <c r="E66" s="15" t="s">
        <v>9</v>
      </c>
      <c r="F66" s="15">
        <v>1</v>
      </c>
      <c r="G66" s="15" t="s">
        <v>35</v>
      </c>
    </row>
    <row r="67" spans="2:7">
      <c r="B67" s="47" t="s">
        <v>101</v>
      </c>
      <c r="C67" s="14" t="s">
        <v>141</v>
      </c>
      <c r="D67" s="15" t="s">
        <v>4</v>
      </c>
      <c r="E67" s="15" t="s">
        <v>16</v>
      </c>
      <c r="F67" s="15">
        <v>1</v>
      </c>
      <c r="G67" s="15" t="s">
        <v>134</v>
      </c>
    </row>
    <row r="68" spans="2:7">
      <c r="B68" s="47" t="s">
        <v>101</v>
      </c>
      <c r="C68" s="14" t="s">
        <v>142</v>
      </c>
      <c r="D68" s="15" t="s">
        <v>4</v>
      </c>
      <c r="E68" s="15" t="s">
        <v>9</v>
      </c>
      <c r="F68" s="15">
        <v>1</v>
      </c>
      <c r="G68" s="15" t="s">
        <v>35</v>
      </c>
    </row>
    <row r="69" spans="2:7">
      <c r="B69" s="54" t="s">
        <v>149</v>
      </c>
      <c r="C69" s="14" t="s">
        <v>150</v>
      </c>
      <c r="D69" s="15" t="s">
        <v>4</v>
      </c>
      <c r="E69" s="15" t="s">
        <v>16</v>
      </c>
      <c r="F69" s="15">
        <v>1</v>
      </c>
      <c r="G69" s="15" t="s">
        <v>134</v>
      </c>
    </row>
    <row r="70" spans="2:7">
      <c r="B70" s="54" t="s">
        <v>149</v>
      </c>
      <c r="C70" s="14" t="s">
        <v>151</v>
      </c>
      <c r="D70" s="15" t="s">
        <v>4</v>
      </c>
      <c r="E70" s="15" t="s">
        <v>16</v>
      </c>
      <c r="F70" s="15">
        <v>1</v>
      </c>
      <c r="G70" s="15" t="s">
        <v>134</v>
      </c>
    </row>
    <row r="71" spans="2:7">
      <c r="B71" s="54" t="s">
        <v>149</v>
      </c>
      <c r="C71" s="14" t="s">
        <v>152</v>
      </c>
      <c r="D71" s="15" t="s">
        <v>4</v>
      </c>
      <c r="E71" s="15" t="s">
        <v>16</v>
      </c>
      <c r="F71" s="15">
        <v>1</v>
      </c>
      <c r="G71" s="15" t="s">
        <v>134</v>
      </c>
    </row>
    <row r="72" spans="2:7">
      <c r="B72" s="41" t="s">
        <v>116</v>
      </c>
      <c r="C72" s="14" t="s">
        <v>115</v>
      </c>
      <c r="D72" s="15" t="s">
        <v>4</v>
      </c>
      <c r="E72" s="15" t="s">
        <v>16</v>
      </c>
      <c r="F72" s="15">
        <v>0.5</v>
      </c>
      <c r="G72" s="15" t="s">
        <v>35</v>
      </c>
    </row>
    <row r="73" spans="2:7">
      <c r="B73" s="41" t="s">
        <v>116</v>
      </c>
      <c r="C73" s="14" t="s">
        <v>117</v>
      </c>
      <c r="D73" s="15" t="s">
        <v>4</v>
      </c>
      <c r="E73" s="15" t="s">
        <v>16</v>
      </c>
      <c r="F73" s="15">
        <v>0.25</v>
      </c>
      <c r="G73" s="15" t="s">
        <v>35</v>
      </c>
    </row>
    <row r="74" spans="2:7">
      <c r="B74" s="41" t="s">
        <v>116</v>
      </c>
      <c r="C74" s="14" t="s">
        <v>118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1" t="s">
        <v>116</v>
      </c>
      <c r="C75" s="14" t="s">
        <v>119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8" t="s">
        <v>106</v>
      </c>
      <c r="C76" s="14" t="s">
        <v>107</v>
      </c>
      <c r="D76" s="15" t="s">
        <v>4</v>
      </c>
      <c r="E76" s="15" t="s">
        <v>16</v>
      </c>
      <c r="F76" s="15">
        <v>0.5</v>
      </c>
      <c r="G76" s="15" t="s">
        <v>35</v>
      </c>
    </row>
    <row r="77" spans="2:7">
      <c r="B77" s="48" t="s">
        <v>106</v>
      </c>
      <c r="C77" s="14" t="s">
        <v>108</v>
      </c>
      <c r="D77" s="15" t="s">
        <v>4</v>
      </c>
      <c r="E77" s="15" t="s">
        <v>138</v>
      </c>
      <c r="F77" s="15">
        <v>0.25</v>
      </c>
      <c r="G77" s="15" t="s">
        <v>35</v>
      </c>
    </row>
    <row r="78" spans="2:7">
      <c r="B78" s="49" t="s">
        <v>122</v>
      </c>
      <c r="C78" s="14" t="s">
        <v>109</v>
      </c>
      <c r="D78" s="15" t="s">
        <v>4</v>
      </c>
      <c r="E78" s="15" t="s">
        <v>138</v>
      </c>
      <c r="F78" s="15">
        <v>1</v>
      </c>
      <c r="G78" s="15" t="s">
        <v>134</v>
      </c>
    </row>
    <row r="79" spans="2:7">
      <c r="B79" s="49" t="s">
        <v>122</v>
      </c>
      <c r="C79" s="14" t="s">
        <v>111</v>
      </c>
      <c r="D79" s="15" t="s">
        <v>4</v>
      </c>
      <c r="E79" s="15" t="s">
        <v>138</v>
      </c>
      <c r="F79" s="15">
        <v>1</v>
      </c>
      <c r="G79" s="15" t="s">
        <v>35</v>
      </c>
    </row>
    <row r="80" spans="2:7">
      <c r="B80" s="49" t="s">
        <v>122</v>
      </c>
      <c r="C80" s="14" t="s">
        <v>158</v>
      </c>
      <c r="D80" s="15" t="s">
        <v>4</v>
      </c>
      <c r="E80" s="15" t="s">
        <v>138</v>
      </c>
      <c r="F80" s="15">
        <v>1</v>
      </c>
      <c r="G80" s="15" t="s">
        <v>134</v>
      </c>
    </row>
    <row r="81" spans="2:7">
      <c r="B81" s="49" t="s">
        <v>122</v>
      </c>
      <c r="C81" s="14" t="s">
        <v>110</v>
      </c>
      <c r="D81" s="15" t="s">
        <v>4</v>
      </c>
      <c r="E81" s="15" t="s">
        <v>138</v>
      </c>
      <c r="F81" s="15">
        <v>1</v>
      </c>
      <c r="G81" s="15" t="s">
        <v>134</v>
      </c>
    </row>
    <row r="82" spans="2:7">
      <c r="B82" s="49" t="s">
        <v>122</v>
      </c>
      <c r="C82" s="14" t="s">
        <v>143</v>
      </c>
      <c r="D82" s="15" t="s">
        <v>4</v>
      </c>
      <c r="E82" s="15" t="s">
        <v>138</v>
      </c>
      <c r="F82" s="15">
        <v>1</v>
      </c>
      <c r="G82" s="15" t="s">
        <v>35</v>
      </c>
    </row>
    <row r="83" spans="2:7">
      <c r="B83" s="49" t="s">
        <v>122</v>
      </c>
      <c r="C83" s="14" t="s">
        <v>113</v>
      </c>
      <c r="D83" s="15" t="s">
        <v>4</v>
      </c>
      <c r="E83" s="15" t="s">
        <v>9</v>
      </c>
      <c r="F83" s="15">
        <v>1</v>
      </c>
      <c r="G83" s="15" t="s">
        <v>35</v>
      </c>
    </row>
    <row r="84" spans="2:7">
      <c r="B84" s="49" t="s">
        <v>122</v>
      </c>
      <c r="C84" s="14" t="s">
        <v>112</v>
      </c>
      <c r="D84" s="15" t="s">
        <v>4</v>
      </c>
      <c r="E84" s="15" t="s">
        <v>138</v>
      </c>
      <c r="F84" s="15">
        <v>1</v>
      </c>
      <c r="G84" s="15" t="s">
        <v>134</v>
      </c>
    </row>
    <row r="85" spans="2:7">
      <c r="B85" s="49" t="s">
        <v>122</v>
      </c>
      <c r="C85" s="14" t="s">
        <v>148</v>
      </c>
      <c r="D85" s="15" t="s">
        <v>4</v>
      </c>
      <c r="E85" s="15" t="s">
        <v>138</v>
      </c>
      <c r="F85" s="15">
        <v>1</v>
      </c>
      <c r="G85" s="15" t="s">
        <v>35</v>
      </c>
    </row>
    <row r="86" spans="2:7">
      <c r="B86" s="51" t="s">
        <v>126</v>
      </c>
      <c r="C86" s="14" t="s">
        <v>127</v>
      </c>
      <c r="D86" s="15" t="s">
        <v>4</v>
      </c>
      <c r="E86" s="15" t="s">
        <v>138</v>
      </c>
      <c r="F86" s="15">
        <v>1</v>
      </c>
      <c r="G86" s="15" t="s">
        <v>35</v>
      </c>
    </row>
    <row r="87" spans="2:7">
      <c r="B87" s="51" t="s">
        <v>126</v>
      </c>
      <c r="C87" s="14" t="s">
        <v>128</v>
      </c>
      <c r="D87" s="15" t="s">
        <v>4</v>
      </c>
      <c r="E87" s="15" t="s">
        <v>138</v>
      </c>
      <c r="F87" s="15">
        <v>1</v>
      </c>
      <c r="G87" s="15" t="s">
        <v>35</v>
      </c>
    </row>
    <row r="88" spans="2:7">
      <c r="B88" s="51" t="s">
        <v>126</v>
      </c>
      <c r="C88" s="14" t="s">
        <v>129</v>
      </c>
      <c r="D88" s="15" t="s">
        <v>4</v>
      </c>
      <c r="E88" s="15" t="s">
        <v>138</v>
      </c>
      <c r="F88" s="15">
        <v>1</v>
      </c>
      <c r="G88" s="15" t="s">
        <v>35</v>
      </c>
    </row>
    <row r="89" spans="2:7">
      <c r="B89" s="52" t="s">
        <v>130</v>
      </c>
      <c r="C89" s="14" t="s">
        <v>131</v>
      </c>
      <c r="D89" s="15" t="s">
        <v>4</v>
      </c>
      <c r="E89" s="15" t="s">
        <v>16</v>
      </c>
      <c r="F89" s="15">
        <v>1</v>
      </c>
      <c r="G89" s="15" t="s">
        <v>134</v>
      </c>
    </row>
    <row r="90" spans="2:7">
      <c r="B90" s="52" t="s">
        <v>130</v>
      </c>
      <c r="C90" s="14" t="s">
        <v>132</v>
      </c>
      <c r="D90" s="15" t="s">
        <v>4</v>
      </c>
      <c r="E90" s="15" t="s">
        <v>16</v>
      </c>
      <c r="F90" s="15">
        <v>0.5</v>
      </c>
      <c r="G90" s="15" t="s">
        <v>134</v>
      </c>
    </row>
    <row r="91" spans="2:7">
      <c r="B91" s="52" t="s">
        <v>130</v>
      </c>
      <c r="C91" s="14" t="s">
        <v>133</v>
      </c>
      <c r="D91" s="15" t="s">
        <v>4</v>
      </c>
      <c r="E91" s="15" t="s">
        <v>16</v>
      </c>
      <c r="F91" s="15">
        <v>0.5</v>
      </c>
      <c r="G91" s="15" t="s">
        <v>134</v>
      </c>
    </row>
    <row r="92" spans="2:7">
      <c r="B92" s="52" t="s">
        <v>130</v>
      </c>
      <c r="C92" s="14" t="s">
        <v>139</v>
      </c>
      <c r="D92" s="15" t="s">
        <v>4</v>
      </c>
      <c r="E92" s="15" t="s">
        <v>9</v>
      </c>
      <c r="F92" s="15">
        <v>0.25</v>
      </c>
      <c r="G92" s="15" t="s">
        <v>35</v>
      </c>
    </row>
    <row r="93" spans="2:7">
      <c r="B93" s="53" t="s">
        <v>140</v>
      </c>
      <c r="C93" s="14" t="s">
        <v>144</v>
      </c>
      <c r="D93" s="15" t="s">
        <v>4</v>
      </c>
      <c r="E93" s="15" t="s">
        <v>9</v>
      </c>
      <c r="F93" s="15">
        <v>0.5</v>
      </c>
      <c r="G93" s="15" t="s">
        <v>134</v>
      </c>
    </row>
    <row r="94" spans="2:7">
      <c r="B94" s="53" t="s">
        <v>140</v>
      </c>
      <c r="C94" s="14" t="s">
        <v>145</v>
      </c>
      <c r="D94" s="15" t="s">
        <v>4</v>
      </c>
      <c r="E94" s="15" t="s">
        <v>9</v>
      </c>
      <c r="F94" s="15">
        <v>0.5</v>
      </c>
      <c r="G94" s="15" t="s">
        <v>134</v>
      </c>
    </row>
    <row r="95" spans="2:7">
      <c r="B95" s="53" t="s">
        <v>140</v>
      </c>
      <c r="C95" s="14" t="s">
        <v>146</v>
      </c>
      <c r="D95" s="15" t="s">
        <v>4</v>
      </c>
      <c r="E95" s="15" t="s">
        <v>9</v>
      </c>
      <c r="F95" s="15">
        <v>0.5</v>
      </c>
      <c r="G95" s="15" t="s">
        <v>35</v>
      </c>
    </row>
    <row r="107" spans="3:3">
      <c r="C107" s="18"/>
    </row>
    <row r="116" spans="7:7">
      <c r="G116" s="40"/>
    </row>
  </sheetData>
  <autoFilter ref="C2:G115" xr:uid="{00000000-0001-0000-0000-000000000000}"/>
  <phoneticPr fontId="1"/>
  <dataValidations count="3">
    <dataValidation type="list" allowBlank="1" showInputMessage="1" showErrorMessage="1" sqref="D3:D115" xr:uid="{AF10AFEC-2E3A-4CB7-ABD8-6255C47E78C2}">
      <formula1>"S,A,B,C"</formula1>
    </dataValidation>
    <dataValidation type="list" allowBlank="1" showInputMessage="1" showErrorMessage="1" sqref="E3:E115" xr:uid="{8982FD40-CA4D-4B92-93FE-B37B6B67ACD6}">
      <formula1>"プロト,アルファ,ベータ,マスタ"</formula1>
    </dataValidation>
    <dataValidation type="list" allowBlank="1" showInputMessage="1" showErrorMessage="1" sqref="G3:G115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2025-11-08T04:58:28Z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