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lovecap\Documents\GitHub\NierGame\"/>
    </mc:Choice>
  </mc:AlternateContent>
  <xr:revisionPtr revIDLastSave="0" documentId="13_ncr:1_{85E1010D-E42A-4FDC-A20D-B7ADDF25E4F1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概要" sheetId="5" r:id="rId1"/>
    <sheet name="作業工数見積もり" sheetId="1" r:id="rId2"/>
  </sheets>
  <definedNames>
    <definedName name="_xlnm._FilterDatabase" localSheetId="1" hidden="1">作業工数見積もり!$C$2:$G$104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1" i="5" l="1"/>
  <c r="C10" i="5"/>
  <c r="D10" i="5" s="1"/>
  <c r="C6" i="5"/>
  <c r="C3" i="5"/>
  <c r="C7" i="5"/>
  <c r="J9" i="1"/>
  <c r="C12" i="5"/>
  <c r="J10" i="1" l="1"/>
  <c r="J13" i="1"/>
  <c r="J14" i="1" s="1"/>
  <c r="J11" i="1"/>
  <c r="J8" i="1"/>
  <c r="J7" i="1"/>
  <c r="J6" i="1"/>
  <c r="C4" i="5"/>
  <c r="E10" i="5" s="1"/>
  <c r="C5" i="5"/>
  <c r="D11" i="5"/>
  <c r="D12" i="5"/>
  <c r="J5" i="1" l="1"/>
  <c r="K9" i="1" s="1"/>
  <c r="E12" i="5"/>
  <c r="D5" i="5"/>
  <c r="E11" i="5"/>
  <c r="K10" i="1" l="1"/>
</calcChain>
</file>

<file path=xl/sharedStrings.xml><?xml version="1.0" encoding="utf-8"?>
<sst xmlns="http://schemas.openxmlformats.org/spreadsheetml/2006/main" count="452" uniqueCount="150">
  <si>
    <t>アルファ</t>
    <phoneticPr fontId="1"/>
  </si>
  <si>
    <t>優先度</t>
    <rPh sb="0" eb="3">
      <t>ユウセンド</t>
    </rPh>
    <phoneticPr fontId="1"/>
  </si>
  <si>
    <t>バージョン</t>
    <phoneticPr fontId="1"/>
  </si>
  <si>
    <t>総コスト</t>
    <rPh sb="0" eb="1">
      <t>ソウ</t>
    </rPh>
    <phoneticPr fontId="1"/>
  </si>
  <si>
    <t>S</t>
  </si>
  <si>
    <t>消化コスト</t>
    <rPh sb="0" eb="2">
      <t>ショウカ</t>
    </rPh>
    <phoneticPr fontId="1"/>
  </si>
  <si>
    <t>消費コスト / 日数</t>
    <rPh sb="0" eb="2">
      <t>ショウヒ</t>
    </rPh>
    <rPh sb="8" eb="10">
      <t>ニッスウ</t>
    </rPh>
    <phoneticPr fontId="1"/>
  </si>
  <si>
    <t>現在の日数(土日除く)</t>
    <rPh sb="0" eb="2">
      <t>ゲンザイ</t>
    </rPh>
    <rPh sb="3" eb="5">
      <t>ニッスウ</t>
    </rPh>
    <rPh sb="6" eb="8">
      <t>ドニチ</t>
    </rPh>
    <rPh sb="8" eb="9">
      <t>ノゾ</t>
    </rPh>
    <phoneticPr fontId="1"/>
  </si>
  <si>
    <t>開始日</t>
    <rPh sb="0" eb="3">
      <t>カイシビ</t>
    </rPh>
    <phoneticPr fontId="1"/>
  </si>
  <si>
    <t>アルファ</t>
  </si>
  <si>
    <t>今日の日付</t>
    <rPh sb="0" eb="2">
      <t>キョウ</t>
    </rPh>
    <rPh sb="3" eb="5">
      <t>ヒヅケ</t>
    </rPh>
    <phoneticPr fontId="1"/>
  </si>
  <si>
    <t>残り日数(土日除く)</t>
    <rPh sb="0" eb="1">
      <t>ノコ</t>
    </rPh>
    <rPh sb="2" eb="4">
      <t>ニッスウ</t>
    </rPh>
    <rPh sb="5" eb="7">
      <t>ドニチ</t>
    </rPh>
    <rPh sb="7" eb="8">
      <t>ノゾ</t>
    </rPh>
    <phoneticPr fontId="1"/>
  </si>
  <si>
    <t>一日の消費コスト</t>
    <rPh sb="0" eb="2">
      <t>イチニチ</t>
    </rPh>
    <rPh sb="3" eb="5">
      <t>ショウヒ</t>
    </rPh>
    <phoneticPr fontId="1"/>
  </si>
  <si>
    <t>理想</t>
    <rPh sb="0" eb="2">
      <t>リソウ</t>
    </rPh>
    <phoneticPr fontId="1"/>
  </si>
  <si>
    <t>デッドライン</t>
    <phoneticPr fontId="1"/>
  </si>
  <si>
    <t>真実のデッドライン</t>
    <rPh sb="0" eb="2">
      <t>シンジツ</t>
    </rPh>
    <phoneticPr fontId="1"/>
  </si>
  <si>
    <t>プロト</t>
  </si>
  <si>
    <t>完了</t>
    <rPh sb="0" eb="2">
      <t>カンリョウ</t>
    </rPh>
    <phoneticPr fontId="1"/>
  </si>
  <si>
    <t>S：実装が必須</t>
    <rPh sb="2" eb="4">
      <t>ジッソウ</t>
    </rPh>
    <rPh sb="5" eb="7">
      <t>ヒッス</t>
    </rPh>
    <phoneticPr fontId="1"/>
  </si>
  <si>
    <t>A：重要な要素</t>
    <rPh sb="2" eb="4">
      <t>ジュウヨウ</t>
    </rPh>
    <rPh sb="5" eb="7">
      <t>ヨウソ</t>
    </rPh>
    <phoneticPr fontId="1"/>
  </si>
  <si>
    <t>B：なくても問題ないがあるといい</t>
    <rPh sb="6" eb="8">
      <t>モンダイ</t>
    </rPh>
    <phoneticPr fontId="1"/>
  </si>
  <si>
    <t>C：なくても問題ない</t>
    <rPh sb="6" eb="8">
      <t>モンダイ</t>
    </rPh>
    <phoneticPr fontId="1"/>
  </si>
  <si>
    <t>作業工数について</t>
    <rPh sb="0" eb="4">
      <t>サギョウコウスウ</t>
    </rPh>
    <phoneticPr fontId="1"/>
  </si>
  <si>
    <t>単位は人日</t>
    <rPh sb="0" eb="2">
      <t>タンイ</t>
    </rPh>
    <rPh sb="3" eb="5">
      <t>ニンニチ</t>
    </rPh>
    <phoneticPr fontId="1"/>
  </si>
  <si>
    <t>1人日＝8時間</t>
    <rPh sb="1" eb="3">
      <t>ニンニチ</t>
    </rPh>
    <rPh sb="5" eb="7">
      <t>ジカン</t>
    </rPh>
    <phoneticPr fontId="1"/>
  </si>
  <si>
    <t>最小＝0.25人日(2時間)</t>
    <rPh sb="0" eb="2">
      <t>サイショウ</t>
    </rPh>
    <rPh sb="7" eb="9">
      <t>ニンニチ</t>
    </rPh>
    <rPh sb="11" eb="13">
      <t>ジカン</t>
    </rPh>
    <phoneticPr fontId="1"/>
  </si>
  <si>
    <t>0.25(2時間)→0.5(4時間)→1(8時間)</t>
    <rPh sb="6" eb="8">
      <t>ジカン</t>
    </rPh>
    <phoneticPr fontId="1"/>
  </si>
  <si>
    <t>プロト</t>
    <phoneticPr fontId="1"/>
  </si>
  <si>
    <t>ベータ</t>
    <phoneticPr fontId="1"/>
  </si>
  <si>
    <t>マスター</t>
    <phoneticPr fontId="1"/>
  </si>
  <si>
    <t>概要</t>
    <rPh sb="0" eb="2">
      <t>ガイヨウ</t>
    </rPh>
    <phoneticPr fontId="1"/>
  </si>
  <si>
    <t>詳細</t>
    <rPh sb="0" eb="2">
      <t>ショウサイ</t>
    </rPh>
    <phoneticPr fontId="1"/>
  </si>
  <si>
    <t>作業工数</t>
    <rPh sb="0" eb="4">
      <t>サギョウコウスウ</t>
    </rPh>
    <phoneticPr fontId="1"/>
  </si>
  <si>
    <t>ステータス</t>
    <phoneticPr fontId="1"/>
  </si>
  <si>
    <t>UI素材</t>
    <rPh sb="2" eb="4">
      <t>ソザイ</t>
    </rPh>
    <phoneticPr fontId="1"/>
  </si>
  <si>
    <t>未着手</t>
  </si>
  <si>
    <t>全体の作業項目数</t>
  </si>
  <si>
    <t>SE</t>
    <phoneticPr fontId="1"/>
  </si>
  <si>
    <t>BGM</t>
    <phoneticPr fontId="1"/>
  </si>
  <si>
    <t>エフェクト</t>
    <phoneticPr fontId="1"/>
  </si>
  <si>
    <t>キャラ</t>
    <phoneticPr fontId="1"/>
  </si>
  <si>
    <t>未着手</t>
    <rPh sb="0" eb="3">
      <t>ミチャクシュ</t>
    </rPh>
    <phoneticPr fontId="1"/>
  </si>
  <si>
    <t>作業中</t>
    <rPh sb="0" eb="3">
      <t>サギョウチュウ</t>
    </rPh>
    <phoneticPr fontId="1"/>
  </si>
  <si>
    <t>当たり判定</t>
    <rPh sb="0" eb="1">
      <t>ア</t>
    </rPh>
    <rPh sb="3" eb="5">
      <t>ハンテイ</t>
    </rPh>
    <phoneticPr fontId="1"/>
  </si>
  <si>
    <t>全体の作業工数</t>
  </si>
  <si>
    <t>作成にかかる時間</t>
  </si>
  <si>
    <t>ステージ</t>
    <phoneticPr fontId="1"/>
  </si>
  <si>
    <t>素材集め</t>
    <rPh sb="0" eb="2">
      <t>ソザイ</t>
    </rPh>
    <rPh sb="2" eb="3">
      <t>アツ</t>
    </rPh>
    <phoneticPr fontId="1"/>
  </si>
  <si>
    <t>カプセルとカプセルの当たり判定と押し戻し</t>
    <rPh sb="10" eb="11">
      <t>ア</t>
    </rPh>
    <rPh sb="13" eb="15">
      <t>ハンテイ</t>
    </rPh>
    <rPh sb="16" eb="17">
      <t>オ</t>
    </rPh>
    <rPh sb="18" eb="19">
      <t>モド</t>
    </rPh>
    <phoneticPr fontId="1"/>
  </si>
  <si>
    <t>カプセルと球の当たり判定と押し戻し</t>
    <rPh sb="5" eb="6">
      <t>キュウ</t>
    </rPh>
    <rPh sb="7" eb="8">
      <t>ア</t>
    </rPh>
    <rPh sb="10" eb="12">
      <t>ハンテイ</t>
    </rPh>
    <phoneticPr fontId="1"/>
  </si>
  <si>
    <t>球と球の当たり判定と押し戻し</t>
    <rPh sb="0" eb="1">
      <t>キュウ</t>
    </rPh>
    <rPh sb="2" eb="3">
      <t>キュウ</t>
    </rPh>
    <rPh sb="4" eb="5">
      <t>ア</t>
    </rPh>
    <rPh sb="7" eb="9">
      <t>ハンテイ</t>
    </rPh>
    <phoneticPr fontId="1"/>
  </si>
  <si>
    <t>球とポリゴンの当たり判定と押し戻し</t>
    <rPh sb="0" eb="1">
      <t>キュウ</t>
    </rPh>
    <rPh sb="7" eb="8">
      <t>ア</t>
    </rPh>
    <rPh sb="10" eb="12">
      <t>ハンテイ</t>
    </rPh>
    <phoneticPr fontId="1"/>
  </si>
  <si>
    <t>カプセルとポリゴンの当たり判定と押し戻し</t>
    <rPh sb="10" eb="11">
      <t>ア</t>
    </rPh>
    <rPh sb="13" eb="15">
      <t>ハンテイ</t>
    </rPh>
    <phoneticPr fontId="1"/>
  </si>
  <si>
    <t>プレイヤー</t>
    <phoneticPr fontId="1"/>
  </si>
  <si>
    <t>歩き移動</t>
    <rPh sb="0" eb="1">
      <t>アル</t>
    </rPh>
    <rPh sb="2" eb="4">
      <t>イドウ</t>
    </rPh>
    <phoneticPr fontId="1"/>
  </si>
  <si>
    <t>メイン武器攻撃(5連撃)</t>
    <rPh sb="3" eb="5">
      <t>ブキ</t>
    </rPh>
    <rPh sb="5" eb="7">
      <t>コウゲキ</t>
    </rPh>
    <rPh sb="9" eb="10">
      <t>レン</t>
    </rPh>
    <rPh sb="10" eb="11">
      <t>ゲキ</t>
    </rPh>
    <phoneticPr fontId="1"/>
  </si>
  <si>
    <t>サブ攻撃(2連撃)</t>
    <rPh sb="2" eb="4">
      <t>コウゲキ</t>
    </rPh>
    <rPh sb="6" eb="8">
      <t>レンゲキ</t>
    </rPh>
    <phoneticPr fontId="1"/>
  </si>
  <si>
    <t>メインタメ攻撃</t>
    <rPh sb="5" eb="7">
      <t>コウゲキ</t>
    </rPh>
    <phoneticPr fontId="1"/>
  </si>
  <si>
    <t>サブタメ攻撃</t>
    <rPh sb="4" eb="6">
      <t>コウゲキ</t>
    </rPh>
    <phoneticPr fontId="1"/>
  </si>
  <si>
    <t>空中メイン攻撃</t>
    <rPh sb="0" eb="2">
      <t>クウチュウ</t>
    </rPh>
    <rPh sb="5" eb="7">
      <t>コウゲキ</t>
    </rPh>
    <phoneticPr fontId="1"/>
  </si>
  <si>
    <t>空中サブ攻撃</t>
    <rPh sb="0" eb="2">
      <t>クウチュウ</t>
    </rPh>
    <rPh sb="4" eb="6">
      <t>コウゲキ</t>
    </rPh>
    <phoneticPr fontId="1"/>
  </si>
  <si>
    <t>射撃</t>
    <rPh sb="0" eb="2">
      <t>シャゲキ</t>
    </rPh>
    <phoneticPr fontId="1"/>
  </si>
  <si>
    <t>プレイヤー(ポッド)</t>
    <phoneticPr fontId="1"/>
  </si>
  <si>
    <t>ジャンプ(2回)</t>
    <rPh sb="6" eb="7">
      <t>カイ</t>
    </rPh>
    <phoneticPr fontId="1"/>
  </si>
  <si>
    <t>滑空(ジャンプ中に長押し)</t>
    <rPh sb="0" eb="2">
      <t>カックウ</t>
    </rPh>
    <rPh sb="7" eb="8">
      <t>チュウ</t>
    </rPh>
    <rPh sb="9" eb="11">
      <t>ナガオ</t>
    </rPh>
    <phoneticPr fontId="1"/>
  </si>
  <si>
    <t>走り移動(回避から遷移)</t>
    <rPh sb="0" eb="1">
      <t>ハシ</t>
    </rPh>
    <rPh sb="2" eb="4">
      <t>イドウ</t>
    </rPh>
    <rPh sb="5" eb="7">
      <t>カイヒ</t>
    </rPh>
    <rPh sb="9" eb="11">
      <t>センイ</t>
    </rPh>
    <phoneticPr fontId="1"/>
  </si>
  <si>
    <t>回避(ジャスト回避も)</t>
    <rPh sb="0" eb="2">
      <t>カイヒ</t>
    </rPh>
    <rPh sb="7" eb="9">
      <t>カイヒ</t>
    </rPh>
    <phoneticPr fontId="1"/>
  </si>
  <si>
    <t>ダッシュ攻撃(サブ攻撃から派生)</t>
    <rPh sb="4" eb="6">
      <t>コウゲキ</t>
    </rPh>
    <rPh sb="9" eb="11">
      <t>コウゲキ</t>
    </rPh>
    <rPh sb="13" eb="15">
      <t>ハセイ</t>
    </rPh>
    <phoneticPr fontId="1"/>
  </si>
  <si>
    <t>喰らい状態(数フレーム無敵)</t>
    <rPh sb="0" eb="1">
      <t>ク</t>
    </rPh>
    <rPh sb="3" eb="5">
      <t>ジョウタイ</t>
    </rPh>
    <rPh sb="6" eb="7">
      <t>スウ</t>
    </rPh>
    <rPh sb="11" eb="13">
      <t>ムテキ</t>
    </rPh>
    <phoneticPr fontId="1"/>
  </si>
  <si>
    <t>空中ダッシュ</t>
    <rPh sb="0" eb="2">
      <t>クウチュウ</t>
    </rPh>
    <phoneticPr fontId="1"/>
  </si>
  <si>
    <t>死亡</t>
    <rPh sb="0" eb="2">
      <t>シボウ</t>
    </rPh>
    <phoneticPr fontId="1"/>
  </si>
  <si>
    <t>体力</t>
    <rPh sb="0" eb="2">
      <t>タイリョク</t>
    </rPh>
    <phoneticPr fontId="1"/>
  </si>
  <si>
    <t>攻撃力</t>
    <rPh sb="0" eb="2">
      <t>コウゲキ</t>
    </rPh>
    <rPh sb="2" eb="3">
      <t>リョク</t>
    </rPh>
    <phoneticPr fontId="1"/>
  </si>
  <si>
    <t>防御力</t>
  </si>
  <si>
    <t>キャラクター共通</t>
    <rPh sb="6" eb="8">
      <t>キョウツウ</t>
    </rPh>
    <phoneticPr fontId="1"/>
  </si>
  <si>
    <t>自爆</t>
    <rPh sb="0" eb="2">
      <t>ジバク</t>
    </rPh>
    <phoneticPr fontId="1"/>
  </si>
  <si>
    <t>C</t>
  </si>
  <si>
    <t>小エネミー(近距離)</t>
    <rPh sb="0" eb="1">
      <t>ショウ</t>
    </rPh>
    <rPh sb="6" eb="9">
      <t>キンキョリ</t>
    </rPh>
    <phoneticPr fontId="1"/>
  </si>
  <si>
    <t>小エネミー(遠距離)</t>
    <rPh sb="0" eb="1">
      <t>ショウ</t>
    </rPh>
    <rPh sb="6" eb="9">
      <t>エンキョリ</t>
    </rPh>
    <phoneticPr fontId="1"/>
  </si>
  <si>
    <t>大エネミー(遠距離)</t>
    <rPh sb="0" eb="1">
      <t>ダイ</t>
    </rPh>
    <rPh sb="6" eb="9">
      <t>エンキョリ</t>
    </rPh>
    <phoneticPr fontId="1"/>
  </si>
  <si>
    <t>大エネミー(近距離)</t>
    <rPh sb="0" eb="1">
      <t>ダイ</t>
    </rPh>
    <rPh sb="6" eb="9">
      <t>キンキョリ</t>
    </rPh>
    <phoneticPr fontId="1"/>
  </si>
  <si>
    <t>攻撃前に目が光る</t>
    <rPh sb="0" eb="2">
      <t>コウゲキ</t>
    </rPh>
    <rPh sb="2" eb="3">
      <t>マエ</t>
    </rPh>
    <rPh sb="4" eb="5">
      <t>メ</t>
    </rPh>
    <rPh sb="6" eb="7">
      <t>ヒカ</t>
    </rPh>
    <phoneticPr fontId="1"/>
  </si>
  <si>
    <t>体のサイズは小さく攻撃は近距離</t>
    <rPh sb="0" eb="1">
      <t>カラダ</t>
    </rPh>
    <rPh sb="6" eb="7">
      <t>チイ</t>
    </rPh>
    <rPh sb="9" eb="11">
      <t>コウゲキ</t>
    </rPh>
    <rPh sb="12" eb="15">
      <t>キンキョリ</t>
    </rPh>
    <phoneticPr fontId="1"/>
  </si>
  <si>
    <t>体のサイズは小さく攻撃は遠距離</t>
    <rPh sb="0" eb="1">
      <t>カラダ</t>
    </rPh>
    <rPh sb="6" eb="7">
      <t>チイ</t>
    </rPh>
    <rPh sb="9" eb="11">
      <t>コウゲキ</t>
    </rPh>
    <rPh sb="12" eb="15">
      <t>エンキョリ</t>
    </rPh>
    <phoneticPr fontId="1"/>
  </si>
  <si>
    <t>体のサイズは大きく攻撃は近距離</t>
    <rPh sb="0" eb="1">
      <t>カラダ</t>
    </rPh>
    <rPh sb="6" eb="7">
      <t>オオ</t>
    </rPh>
    <rPh sb="9" eb="11">
      <t>コウゲキ</t>
    </rPh>
    <rPh sb="12" eb="15">
      <t>キンキョリ</t>
    </rPh>
    <phoneticPr fontId="1"/>
  </si>
  <si>
    <t>体のサイズは大きく攻撃は遠距離</t>
    <rPh sb="0" eb="1">
      <t>カラダ</t>
    </rPh>
    <rPh sb="6" eb="7">
      <t>オオ</t>
    </rPh>
    <rPh sb="9" eb="11">
      <t>コウゲキ</t>
    </rPh>
    <rPh sb="12" eb="15">
      <t>エンキョリ</t>
    </rPh>
    <phoneticPr fontId="1"/>
  </si>
  <si>
    <t>死亡</t>
    <rPh sb="0" eb="2">
      <t>シボウ</t>
    </rPh>
    <phoneticPr fontId="1"/>
  </si>
  <si>
    <t>喰らい状態</t>
    <rPh sb="0" eb="1">
      <t>ク</t>
    </rPh>
    <rPh sb="3" eb="5">
      <t>ジョウタイ</t>
    </rPh>
    <phoneticPr fontId="1"/>
  </si>
  <si>
    <t>ステージ</t>
    <phoneticPr fontId="1"/>
  </si>
  <si>
    <t>システム</t>
    <phoneticPr fontId="1"/>
  </si>
  <si>
    <t>オプション</t>
    <phoneticPr fontId="1"/>
  </si>
  <si>
    <t>音量調整</t>
    <rPh sb="0" eb="2">
      <t>オンリョウ</t>
    </rPh>
    <rPh sb="2" eb="4">
      <t>チョウセイ</t>
    </rPh>
    <phoneticPr fontId="1"/>
  </si>
  <si>
    <t>スクリーン切り替え</t>
    <rPh sb="5" eb="6">
      <t>キ</t>
    </rPh>
    <rPh sb="7" eb="8">
      <t>カ</t>
    </rPh>
    <phoneticPr fontId="1"/>
  </si>
  <si>
    <t>タイトルシーン</t>
    <phoneticPr fontId="1"/>
  </si>
  <si>
    <t>ゲームシーン</t>
    <phoneticPr fontId="1"/>
  </si>
  <si>
    <t>モードセレクトシーン</t>
    <phoneticPr fontId="1"/>
  </si>
  <si>
    <t>ゲームクリアシーン</t>
    <phoneticPr fontId="1"/>
  </si>
  <si>
    <t>ポーズメニューシーン(設定もここ)</t>
    <rPh sb="11" eb="13">
      <t>セッテイ</t>
    </rPh>
    <phoneticPr fontId="1"/>
  </si>
  <si>
    <t>エネミー</t>
    <phoneticPr fontId="1"/>
  </si>
  <si>
    <t>UI</t>
    <phoneticPr fontId="1"/>
  </si>
  <si>
    <t>設計</t>
    <rPh sb="0" eb="2">
      <t>セッケイ</t>
    </rPh>
    <phoneticPr fontId="1"/>
  </si>
  <si>
    <t>クラス設計</t>
    <rPh sb="3" eb="5">
      <t>セッケイ</t>
    </rPh>
    <phoneticPr fontId="1"/>
  </si>
  <si>
    <t>仕様</t>
    <rPh sb="0" eb="2">
      <t>シヨウ</t>
    </rPh>
    <phoneticPr fontId="1"/>
  </si>
  <si>
    <t>サウンド</t>
    <phoneticPr fontId="1"/>
  </si>
  <si>
    <t>BGM実装</t>
    <rPh sb="3" eb="5">
      <t>ジッソウ</t>
    </rPh>
    <phoneticPr fontId="1"/>
  </si>
  <si>
    <t>SE実装</t>
    <rPh sb="2" eb="4">
      <t>ジッソウ</t>
    </rPh>
    <phoneticPr fontId="1"/>
  </si>
  <si>
    <t>VC実装</t>
    <rPh sb="2" eb="4">
      <t>ジッソウ</t>
    </rPh>
    <phoneticPr fontId="1"/>
  </si>
  <si>
    <t>エフェクト</t>
    <phoneticPr fontId="1"/>
  </si>
  <si>
    <t>エフェクト実装</t>
    <rPh sb="5" eb="7">
      <t>ジッソウ</t>
    </rPh>
    <phoneticPr fontId="1"/>
  </si>
  <si>
    <t>ジャスト回避エフェクト</t>
    <rPh sb="4" eb="6">
      <t>カイヒ</t>
    </rPh>
    <phoneticPr fontId="1"/>
  </si>
  <si>
    <t>敵の攻撃時の眼の光</t>
    <rPh sb="0" eb="1">
      <t>テキ</t>
    </rPh>
    <rPh sb="2" eb="5">
      <t>コウゲキジ</t>
    </rPh>
    <rPh sb="6" eb="7">
      <t>メ</t>
    </rPh>
    <rPh sb="8" eb="9">
      <t>ヒカリ</t>
    </rPh>
    <phoneticPr fontId="1"/>
  </si>
  <si>
    <t>完了</t>
  </si>
  <si>
    <t>ドーナツと球の当たり判定</t>
    <rPh sb="5" eb="6">
      <t>キュウ</t>
    </rPh>
    <rPh sb="7" eb="8">
      <t>ア</t>
    </rPh>
    <rPh sb="10" eb="12">
      <t>ハンテイ</t>
    </rPh>
    <phoneticPr fontId="1"/>
  </si>
  <si>
    <t>ドーナツとカプセルの当たり判定</t>
    <rPh sb="10" eb="11">
      <t>ア</t>
    </rPh>
    <rPh sb="13" eb="15">
      <t>ハンテイ</t>
    </rPh>
    <phoneticPr fontId="1"/>
  </si>
  <si>
    <t>A</t>
  </si>
  <si>
    <t>ベータ</t>
  </si>
  <si>
    <t>ヒットエフェクト</t>
    <phoneticPr fontId="1"/>
  </si>
  <si>
    <t>シェーダー</t>
    <phoneticPr fontId="1"/>
  </si>
  <si>
    <t>スローモーション</t>
    <phoneticPr fontId="1"/>
  </si>
  <si>
    <t>ヒットストップ</t>
    <phoneticPr fontId="1"/>
  </si>
  <si>
    <t>コンティニューシーン</t>
    <phoneticPr fontId="1"/>
  </si>
  <si>
    <t>グリッジ(ダメージを喰らった時)</t>
    <rPh sb="10" eb="11">
      <t>ク</t>
    </rPh>
    <rPh sb="14" eb="15">
      <t>トキ</t>
    </rPh>
    <phoneticPr fontId="1"/>
  </si>
  <si>
    <t>グリッジ + 白黒(体力が残り2~3割になったら)</t>
    <rPh sb="7" eb="9">
      <t>シロクロ</t>
    </rPh>
    <rPh sb="10" eb="12">
      <t>タイリョク</t>
    </rPh>
    <rPh sb="13" eb="14">
      <t>ノコ</t>
    </rPh>
    <rPh sb="18" eb="19">
      <t>ワリ</t>
    </rPh>
    <phoneticPr fontId="1"/>
  </si>
  <si>
    <t>白黒(死亡時)</t>
    <rPh sb="0" eb="2">
      <t>シロクロ</t>
    </rPh>
    <rPh sb="3" eb="6">
      <t>シボウジ</t>
    </rPh>
    <phoneticPr fontId="1"/>
  </si>
  <si>
    <t>移動速度</t>
    <rPh sb="0" eb="4">
      <t>イドウソクド</t>
    </rPh>
    <phoneticPr fontId="1"/>
  </si>
  <si>
    <t>ロードシーン</t>
    <phoneticPr fontId="1"/>
  </si>
  <si>
    <t>カメラ</t>
    <phoneticPr fontId="1"/>
  </si>
  <si>
    <t>ターゲットを追跡</t>
    <rPh sb="6" eb="8">
      <t>ツイセキ</t>
    </rPh>
    <phoneticPr fontId="1"/>
  </si>
  <si>
    <t>壁と床当たり判定</t>
    <rPh sb="0" eb="1">
      <t>カベ</t>
    </rPh>
    <rPh sb="2" eb="3">
      <t>ユカ</t>
    </rPh>
    <rPh sb="3" eb="4">
      <t>ア</t>
    </rPh>
    <rPh sb="6" eb="8">
      <t>ハンテイ</t>
    </rPh>
    <phoneticPr fontId="1"/>
  </si>
  <si>
    <t>敵ロックオン</t>
    <rPh sb="0" eb="1">
      <t>テキ</t>
    </rPh>
    <phoneticPr fontId="1"/>
  </si>
  <si>
    <t>ジャスト回避攻撃(メイン)</t>
    <rPh sb="4" eb="6">
      <t>カイヒ</t>
    </rPh>
    <rPh sb="6" eb="8">
      <t>コウゲキ</t>
    </rPh>
    <phoneticPr fontId="1"/>
  </si>
  <si>
    <t>ジャスト回避攻撃(サブ)</t>
    <rPh sb="4" eb="6">
      <t>カイヒ</t>
    </rPh>
    <rPh sb="6" eb="8">
      <t>コウゲキ</t>
    </rPh>
    <phoneticPr fontId="1"/>
  </si>
  <si>
    <t>チュートリアルシーン</t>
    <phoneticPr fontId="1"/>
  </si>
  <si>
    <t>死亡した際チェックポイントから</t>
    <rPh sb="0" eb="2">
      <t>シボウ</t>
    </rPh>
    <rPh sb="4" eb="5">
      <t>サイ</t>
    </rPh>
    <phoneticPr fontId="1"/>
  </si>
  <si>
    <t>十字キー下で回復(回数制限あり)</t>
    <rPh sb="0" eb="2">
      <t>ジュウジ</t>
    </rPh>
    <rPh sb="4" eb="5">
      <t>シタ</t>
    </rPh>
    <rPh sb="6" eb="8">
      <t>カイフク</t>
    </rPh>
    <rPh sb="9" eb="13">
      <t>カイスウセイゲン</t>
    </rPh>
    <phoneticPr fontId="1"/>
  </si>
  <si>
    <t>チュートリアル1</t>
    <phoneticPr fontId="1"/>
  </si>
  <si>
    <t>チュートリアル2</t>
  </si>
  <si>
    <t>チュートリアル3</t>
  </si>
  <si>
    <t>ステージ1</t>
    <phoneticPr fontId="1"/>
  </si>
  <si>
    <t>ステージ2</t>
  </si>
  <si>
    <t>ステージ3</t>
  </si>
  <si>
    <t>ボス1</t>
    <phoneticPr fontId="1"/>
  </si>
  <si>
    <t>ボス2</t>
    <phoneticPr fontId="1"/>
  </si>
  <si>
    <t>ボス3</t>
    <phoneticPr fontId="1"/>
  </si>
  <si>
    <t>ボス4</t>
    <phoneticPr fontId="1"/>
  </si>
  <si>
    <t>チュートリアル用のボス(後々中ボスとして登場予定)</t>
    <rPh sb="7" eb="8">
      <t>ヨウ</t>
    </rPh>
    <rPh sb="12" eb="14">
      <t>ノチノチ</t>
    </rPh>
    <rPh sb="14" eb="15">
      <t>チュウ</t>
    </rPh>
    <rPh sb="20" eb="22">
      <t>トウジョウ</t>
    </rPh>
    <rPh sb="22" eb="24">
      <t>ヨテイ</t>
    </rPh>
    <phoneticPr fontId="1"/>
  </si>
  <si>
    <t>巨大ボス　顔と腕を攻撃して戦う</t>
    <rPh sb="0" eb="2">
      <t>キョダイ</t>
    </rPh>
    <rPh sb="5" eb="6">
      <t>カオ</t>
    </rPh>
    <rPh sb="7" eb="8">
      <t>ウデ</t>
    </rPh>
    <rPh sb="9" eb="11">
      <t>コウゲキ</t>
    </rPh>
    <rPh sb="13" eb="14">
      <t>タタカ</t>
    </rPh>
    <phoneticPr fontId="1"/>
  </si>
  <si>
    <t>遊園地ボスっぽいやつ</t>
    <rPh sb="0" eb="3">
      <t>ユウエンチ</t>
    </rPh>
    <phoneticPr fontId="1"/>
  </si>
  <si>
    <t>イヴっぽいやつ(第二形態含む)</t>
    <rPh sb="8" eb="13">
      <t>ダイニケイタイフク</t>
    </rPh>
    <phoneticPr fontId="1"/>
  </si>
  <si>
    <t>作業中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</si>
</sst>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_);[Red]\(0\)"/>
    <numFmt numFmtId="177" formatCode="0.000"/>
  </numFmts>
  <fonts count="9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  <font>
      <sz val="11"/>
      <color rgb="FFFF0000"/>
      <name val="Yu Gothic"/>
      <family val="2"/>
      <scheme val="minor"/>
    </font>
    <font>
      <sz val="11"/>
      <color theme="1"/>
      <name val="Yu Gothic"/>
      <family val="2"/>
      <scheme val="minor"/>
    </font>
    <font>
      <sz val="20"/>
      <color theme="1"/>
      <name val="Yu Gothic"/>
      <family val="3"/>
      <charset val="128"/>
      <scheme val="minor"/>
    </font>
    <font>
      <b/>
      <sz val="20"/>
      <color theme="0"/>
      <name val="Yu Gothic"/>
      <family val="3"/>
      <charset val="128"/>
      <scheme val="minor"/>
    </font>
    <font>
      <b/>
      <sz val="20"/>
      <color theme="1"/>
      <name val="Yu Gothic"/>
      <family val="3"/>
      <charset val="128"/>
      <scheme val="minor"/>
    </font>
    <font>
      <sz val="20"/>
      <name val="Yu Gothic"/>
      <family val="3"/>
      <charset val="128"/>
      <scheme val="minor"/>
    </font>
    <font>
      <sz val="22"/>
      <color theme="1"/>
      <name val="Yu Gothic"/>
      <family val="2"/>
      <scheme val="minor"/>
    </font>
  </fonts>
  <fills count="2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rgb="FF00FFCC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33CCFF"/>
        <bgColor indexed="64"/>
      </patternFill>
    </fill>
    <fill>
      <patternFill patternType="solid">
        <fgColor rgb="FFFF3300"/>
        <bgColor indexed="64"/>
      </patternFill>
    </fill>
    <fill>
      <patternFill patternType="solid">
        <fgColor rgb="FF99FF3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FFD4B7"/>
        <bgColor indexed="64"/>
      </patternFill>
    </fill>
    <fill>
      <patternFill patternType="solid">
        <fgColor rgb="FFFF6600"/>
        <bgColor indexed="64"/>
      </patternFill>
    </fill>
    <fill>
      <patternFill patternType="solid">
        <fgColor rgb="FFFFAFFF"/>
        <bgColor indexed="64"/>
      </patternFill>
    </fill>
    <fill>
      <patternFill patternType="solid">
        <fgColor rgb="FF9933FF"/>
        <bgColor indexed="64"/>
      </patternFill>
    </fill>
    <fill>
      <patternFill patternType="solid">
        <fgColor rgb="FFCCFF99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79998168889431442"/>
        <bgColor indexed="64"/>
      </patternFill>
    </fill>
  </fills>
  <borders count="1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3" fillId="0" borderId="0" applyFont="0" applyFill="0" applyBorder="0" applyAlignment="0" applyProtection="0">
      <alignment vertical="center"/>
    </xf>
  </cellStyleXfs>
  <cellXfs count="65">
    <xf numFmtId="0" fontId="0" fillId="0" borderId="0" xfId="0"/>
    <xf numFmtId="56" fontId="0" fillId="0" borderId="0" xfId="0" applyNumberFormat="1"/>
    <xf numFmtId="176" fontId="0" fillId="0" borderId="0" xfId="0" applyNumberFormat="1"/>
    <xf numFmtId="177" fontId="0" fillId="0" borderId="0" xfId="0" applyNumberFormat="1"/>
    <xf numFmtId="0" fontId="0" fillId="4" borderId="1" xfId="0" applyFill="1" applyBorder="1"/>
    <xf numFmtId="0" fontId="0" fillId="6" borderId="1" xfId="0" applyFill="1" applyBorder="1"/>
    <xf numFmtId="0" fontId="0" fillId="5" borderId="1" xfId="0" applyFill="1" applyBorder="1"/>
    <xf numFmtId="0" fontId="0" fillId="7" borderId="1" xfId="0" applyFill="1" applyBorder="1"/>
    <xf numFmtId="0" fontId="0" fillId="8" borderId="1" xfId="0" applyFill="1" applyBorder="1"/>
    <xf numFmtId="0" fontId="0" fillId="3" borderId="1" xfId="0" applyFill="1" applyBorder="1"/>
    <xf numFmtId="0" fontId="0" fillId="9" borderId="2" xfId="0" applyFill="1" applyBorder="1"/>
    <xf numFmtId="0" fontId="0" fillId="0" borderId="2" xfId="0" applyBorder="1"/>
    <xf numFmtId="0" fontId="2" fillId="3" borderId="2" xfId="0" applyFont="1" applyFill="1" applyBorder="1"/>
    <xf numFmtId="56" fontId="0" fillId="0" borderId="2" xfId="0" applyNumberFormat="1" applyBorder="1"/>
    <xf numFmtId="0" fontId="4" fillId="9" borderId="2" xfId="0" applyFont="1" applyFill="1" applyBorder="1"/>
    <xf numFmtId="0" fontId="4" fillId="9" borderId="2" xfId="0" applyFont="1" applyFill="1" applyBorder="1" applyAlignment="1">
      <alignment horizontal="center" vertical="center"/>
    </xf>
    <xf numFmtId="0" fontId="5" fillId="10" borderId="2" xfId="0" applyFont="1" applyFill="1" applyBorder="1"/>
    <xf numFmtId="0" fontId="5" fillId="10" borderId="2" xfId="0" applyFont="1" applyFill="1" applyBorder="1" applyAlignment="1">
      <alignment horizontal="center" vertical="center"/>
    </xf>
    <xf numFmtId="0" fontId="7" fillId="9" borderId="2" xfId="0" applyFont="1" applyFill="1" applyBorder="1"/>
    <xf numFmtId="0" fontId="6" fillId="9" borderId="2" xfId="0" applyFont="1" applyFill="1" applyBorder="1"/>
    <xf numFmtId="0" fontId="4" fillId="9" borderId="5" xfId="0" applyFont="1" applyFill="1" applyBorder="1"/>
    <xf numFmtId="0" fontId="4" fillId="11" borderId="2" xfId="0" applyFont="1" applyFill="1" applyBorder="1"/>
    <xf numFmtId="0" fontId="4" fillId="9" borderId="3" xfId="0" applyFont="1" applyFill="1" applyBorder="1"/>
    <xf numFmtId="0" fontId="6" fillId="18" borderId="6" xfId="0" applyFont="1" applyFill="1" applyBorder="1" applyAlignment="1">
      <alignment horizontal="center" vertical="center"/>
    </xf>
    <xf numFmtId="0" fontId="6" fillId="9" borderId="7" xfId="0" applyFont="1" applyFill="1" applyBorder="1"/>
    <xf numFmtId="0" fontId="6" fillId="9" borderId="8" xfId="0" applyFont="1" applyFill="1" applyBorder="1"/>
    <xf numFmtId="0" fontId="4" fillId="9" borderId="4" xfId="0" applyFont="1" applyFill="1" applyBorder="1"/>
    <xf numFmtId="0" fontId="6" fillId="16" borderId="9" xfId="0" applyFont="1" applyFill="1" applyBorder="1"/>
    <xf numFmtId="0" fontId="6" fillId="9" borderId="2" xfId="1" applyNumberFormat="1" applyFont="1" applyFill="1" applyBorder="1" applyAlignment="1"/>
    <xf numFmtId="0" fontId="6" fillId="9" borderId="10" xfId="0" applyFont="1" applyFill="1" applyBorder="1"/>
    <xf numFmtId="0" fontId="6" fillId="17" borderId="9" xfId="0" applyFont="1" applyFill="1" applyBorder="1"/>
    <xf numFmtId="0" fontId="6" fillId="13" borderId="9" xfId="0" applyFont="1" applyFill="1" applyBorder="1"/>
    <xf numFmtId="0" fontId="6" fillId="14" borderId="9" xfId="0" applyFont="1" applyFill="1" applyBorder="1" applyAlignment="1">
      <alignment horizontal="center" vertical="center"/>
    </xf>
    <xf numFmtId="9" fontId="6" fillId="9" borderId="10" xfId="0" applyNumberFormat="1" applyFont="1" applyFill="1" applyBorder="1"/>
    <xf numFmtId="0" fontId="6" fillId="15" borderId="9" xfId="0" applyFont="1" applyFill="1" applyBorder="1" applyAlignment="1">
      <alignment horizontal="center" vertical="center"/>
    </xf>
    <xf numFmtId="9" fontId="6" fillId="9" borderId="10" xfId="1" applyFont="1" applyFill="1" applyBorder="1" applyAlignment="1"/>
    <xf numFmtId="0" fontId="4" fillId="12" borderId="2" xfId="0" applyFont="1" applyFill="1" applyBorder="1"/>
    <xf numFmtId="0" fontId="6" fillId="2" borderId="9" xfId="0" applyFont="1" applyFill="1" applyBorder="1" applyAlignment="1">
      <alignment horizontal="center" vertical="center"/>
    </xf>
    <xf numFmtId="0" fontId="6" fillId="9" borderId="9" xfId="0" applyFont="1" applyFill="1" applyBorder="1"/>
    <xf numFmtId="0" fontId="6" fillId="19" borderId="9" xfId="0" applyFont="1" applyFill="1" applyBorder="1"/>
    <xf numFmtId="0" fontId="6" fillId="9" borderId="2" xfId="0" applyFont="1" applyFill="1" applyBorder="1" applyAlignment="1">
      <alignment horizontal="center" vertical="center"/>
    </xf>
    <xf numFmtId="0" fontId="4" fillId="20" borderId="2" xfId="0" applyFont="1" applyFill="1" applyBorder="1"/>
    <xf numFmtId="0" fontId="4" fillId="9" borderId="11" xfId="0" applyFont="1" applyFill="1" applyBorder="1"/>
    <xf numFmtId="0" fontId="4" fillId="21" borderId="2" xfId="0" applyFont="1" applyFill="1" applyBorder="1"/>
    <xf numFmtId="0" fontId="4" fillId="2" borderId="2" xfId="0" applyFont="1" applyFill="1" applyBorder="1"/>
    <xf numFmtId="0" fontId="4" fillId="22" borderId="2" xfId="0" applyFont="1" applyFill="1" applyBorder="1"/>
    <xf numFmtId="0" fontId="4" fillId="19" borderId="2" xfId="0" applyFont="1" applyFill="1" applyBorder="1"/>
    <xf numFmtId="0" fontId="4" fillId="23" borderId="2" xfId="0" applyFont="1" applyFill="1" applyBorder="1"/>
    <xf numFmtId="0" fontId="4" fillId="24" borderId="2" xfId="0" applyFont="1" applyFill="1" applyBorder="1"/>
    <xf numFmtId="0" fontId="4" fillId="25" borderId="2" xfId="0" applyFont="1" applyFill="1" applyBorder="1"/>
    <xf numFmtId="0" fontId="5" fillId="26" borderId="2" xfId="0" applyFont="1" applyFill="1" applyBorder="1"/>
    <xf numFmtId="0" fontId="4" fillId="27" borderId="2" xfId="0" applyFont="1" applyFill="1" applyBorder="1"/>
    <xf numFmtId="0" fontId="4" fillId="17" borderId="2" xfId="0" applyFont="1" applyFill="1" applyBorder="1"/>
    <xf numFmtId="0" fontId="4" fillId="6" borderId="2" xfId="0" applyFont="1" applyFill="1" applyBorder="1"/>
    <xf numFmtId="0" fontId="4" fillId="14" borderId="2" xfId="0" applyFont="1" applyFill="1" applyBorder="1"/>
    <xf numFmtId="0" fontId="8" fillId="0" borderId="2" xfId="0" applyFont="1" applyBorder="1"/>
    <xf numFmtId="0" fontId="8" fillId="0" borderId="11" xfId="0" applyFont="1" applyBorder="1"/>
    <xf numFmtId="0" fontId="6" fillId="14" borderId="9" xfId="0" applyFont="1" applyFill="1" applyBorder="1" applyAlignment="1">
      <alignment horizontal="center"/>
    </xf>
    <xf numFmtId="0" fontId="8" fillId="0" borderId="9" xfId="0" applyFont="1" applyBorder="1"/>
    <xf numFmtId="0" fontId="8" fillId="0" borderId="12" xfId="0" applyFont="1" applyBorder="1"/>
    <xf numFmtId="0" fontId="4" fillId="9" borderId="13" xfId="0" applyFont="1" applyFill="1" applyBorder="1"/>
    <xf numFmtId="0" fontId="4" fillId="9" borderId="14" xfId="0" applyFont="1" applyFill="1" applyBorder="1"/>
    <xf numFmtId="0" fontId="4" fillId="9" borderId="15" xfId="0" applyFont="1" applyFill="1" applyBorder="1"/>
    <xf numFmtId="0" fontId="4" fillId="9" borderId="16" xfId="0" applyFont="1" applyFill="1" applyBorder="1"/>
    <xf numFmtId="0" fontId="4" fillId="9" borderId="17" xfId="0" applyFont="1" applyFill="1" applyBorder="1"/>
  </cellXfs>
  <cellStyles count="2">
    <cellStyle name="パーセント" xfId="1" builtinId="5"/>
    <cellStyle name="標準" xfId="0" builtinId="0"/>
  </cellStyles>
  <dxfs count="0"/>
  <tableStyles count="0" defaultTableStyle="TableStyleMedium2" defaultPivotStyle="PivotStyleLight16"/>
  <colors>
    <mruColors>
      <color rgb="FFFF3300"/>
      <color rgb="FFCCFF99"/>
      <color rgb="FFFFD4B7"/>
      <color rgb="FF9933FF"/>
      <color rgb="FF00FFFF"/>
      <color rgb="FFFFAFFF"/>
      <color rgb="FFFF6600"/>
      <color rgb="FF33CCFF"/>
      <color rgb="FF99CCFF"/>
      <color rgb="FF66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4174C6-79B8-40DF-BFBC-1FA41083861E}">
  <dimension ref="B3:E27"/>
  <sheetViews>
    <sheetView workbookViewId="0">
      <selection activeCell="C12" sqref="C12"/>
    </sheetView>
  </sheetViews>
  <sheetFormatPr defaultRowHeight="18.75"/>
  <cols>
    <col min="2" max="2" width="33" bestFit="1" customWidth="1"/>
    <col min="3" max="3" width="15" bestFit="1" customWidth="1"/>
    <col min="4" max="4" width="33.25" bestFit="1" customWidth="1"/>
    <col min="5" max="5" width="17.25" bestFit="1" customWidth="1"/>
  </cols>
  <sheetData>
    <row r="3" spans="2:5">
      <c r="B3" s="4" t="s">
        <v>3</v>
      </c>
      <c r="C3">
        <f>SUM(作業工数見積もり!F5:F134)</f>
        <v>79.25</v>
      </c>
    </row>
    <row r="4" spans="2:5">
      <c r="B4" s="5" t="s">
        <v>5</v>
      </c>
      <c r="C4">
        <f>SUMIF(作業工数見積もり!G5:G59,"完了",作業工数見積もり!F5:F59)</f>
        <v>39.25</v>
      </c>
      <c r="D4" t="s">
        <v>6</v>
      </c>
    </row>
    <row r="5" spans="2:5">
      <c r="B5" s="6" t="s">
        <v>7</v>
      </c>
      <c r="C5" s="2">
        <f ca="1">NETWORKDAYS(C6,C7)</f>
        <v>39</v>
      </c>
      <c r="D5" s="3">
        <f ca="1" xml:space="preserve"> C4 / C5</f>
        <v>1.0064102564102564</v>
      </c>
    </row>
    <row r="6" spans="2:5">
      <c r="B6" s="7" t="s">
        <v>8</v>
      </c>
      <c r="C6" s="1">
        <f>DATE(2025,10,1)</f>
        <v>45931</v>
      </c>
    </row>
    <row r="7" spans="2:5">
      <c r="B7" s="8" t="s">
        <v>10</v>
      </c>
      <c r="C7" s="1">
        <f ca="1">TODAY()</f>
        <v>45985</v>
      </c>
    </row>
    <row r="9" spans="2:5">
      <c r="D9" t="s">
        <v>11</v>
      </c>
      <c r="E9" t="s">
        <v>12</v>
      </c>
    </row>
    <row r="10" spans="2:5">
      <c r="B10" s="4" t="s">
        <v>13</v>
      </c>
      <c r="C10" s="1">
        <f>DATE(2026,1,8)</f>
        <v>46030</v>
      </c>
      <c r="D10" s="2">
        <f ca="1">NETWORKDAYS(TODAY(),C10)</f>
        <v>34</v>
      </c>
      <c r="E10" s="3">
        <f ca="1">($C$3 - $C$4) / D10</f>
        <v>1.1764705882352942</v>
      </c>
    </row>
    <row r="11" spans="2:5">
      <c r="B11" s="9" t="s">
        <v>14</v>
      </c>
      <c r="C11" s="1">
        <f>DATE(2026,1,15)</f>
        <v>46037</v>
      </c>
      <c r="D11" s="2">
        <f ca="1">NETWORKDAYS(TODAY(),C11)</f>
        <v>39</v>
      </c>
      <c r="E11" s="3">
        <f ca="1">($C$3 - $C$4) / D11</f>
        <v>1.0256410256410255</v>
      </c>
    </row>
    <row r="12" spans="2:5">
      <c r="B12" s="6" t="s">
        <v>15</v>
      </c>
      <c r="C12" s="1">
        <f>DATE(2026,2,1)</f>
        <v>46054</v>
      </c>
      <c r="D12" s="2">
        <f ca="1">NETWORKDAYS(TODAY(),C12)</f>
        <v>50</v>
      </c>
      <c r="E12" s="3">
        <f ca="1">($C$3 - $C$4) / D12</f>
        <v>0.8</v>
      </c>
    </row>
    <row r="18" spans="2:4">
      <c r="B18" s="12" t="s">
        <v>1</v>
      </c>
      <c r="D18" t="s">
        <v>22</v>
      </c>
    </row>
    <row r="19" spans="2:4">
      <c r="B19" s="10" t="s">
        <v>18</v>
      </c>
      <c r="D19" t="s">
        <v>23</v>
      </c>
    </row>
    <row r="20" spans="2:4">
      <c r="B20" s="10" t="s">
        <v>19</v>
      </c>
      <c r="D20" t="s">
        <v>24</v>
      </c>
    </row>
    <row r="21" spans="2:4">
      <c r="B21" s="10" t="s">
        <v>20</v>
      </c>
      <c r="D21" t="s">
        <v>25</v>
      </c>
    </row>
    <row r="22" spans="2:4">
      <c r="B22" s="11" t="s">
        <v>21</v>
      </c>
      <c r="D22" t="s">
        <v>26</v>
      </c>
    </row>
    <row r="24" spans="2:4">
      <c r="B24" s="10" t="s">
        <v>27</v>
      </c>
      <c r="C24" s="13">
        <v>45955</v>
      </c>
    </row>
    <row r="25" spans="2:4">
      <c r="B25" s="10" t="s">
        <v>0</v>
      </c>
      <c r="C25" s="13">
        <v>45986</v>
      </c>
    </row>
    <row r="26" spans="2:4">
      <c r="B26" s="10" t="s">
        <v>28</v>
      </c>
      <c r="C26" s="13">
        <v>46021</v>
      </c>
    </row>
    <row r="27" spans="2:4">
      <c r="B27" s="10" t="s">
        <v>29</v>
      </c>
      <c r="C27" s="13">
        <v>45677</v>
      </c>
    </row>
  </sheetData>
  <phoneticPr fontId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B2:M105"/>
  <sheetViews>
    <sheetView tabSelected="1" zoomScale="55" zoomScaleNormal="55" workbookViewId="0">
      <selection activeCell="H107" sqref="H107"/>
    </sheetView>
  </sheetViews>
  <sheetFormatPr defaultColWidth="9.75" defaultRowHeight="33"/>
  <cols>
    <col min="1" max="1" width="9.75" style="14"/>
    <col min="2" max="2" width="35.375" style="14" customWidth="1"/>
    <col min="3" max="3" width="142.875" style="14" customWidth="1"/>
    <col min="4" max="4" width="17.375" style="15" bestFit="1" customWidth="1"/>
    <col min="5" max="5" width="29.5" style="15" bestFit="1" customWidth="1"/>
    <col min="6" max="6" width="25.375" style="15" customWidth="1"/>
    <col min="7" max="7" width="29.5" style="15" bestFit="1" customWidth="1"/>
    <col min="8" max="8" width="7.25" style="14" customWidth="1"/>
    <col min="9" max="9" width="46.75" style="14" customWidth="1"/>
    <col min="10" max="10" width="11.25" style="14" bestFit="1" customWidth="1"/>
    <col min="11" max="11" width="16.5" style="14" customWidth="1"/>
    <col min="12" max="16384" width="9.75" style="14"/>
  </cols>
  <sheetData>
    <row r="2" spans="2:13" ht="33.75" thickBot="1">
      <c r="B2" s="16" t="s">
        <v>30</v>
      </c>
      <c r="C2" s="16" t="s">
        <v>31</v>
      </c>
      <c r="D2" s="17" t="s">
        <v>1</v>
      </c>
      <c r="E2" s="17" t="s">
        <v>2</v>
      </c>
      <c r="F2" s="17" t="s">
        <v>32</v>
      </c>
      <c r="G2" s="17" t="s">
        <v>33</v>
      </c>
    </row>
    <row r="3" spans="2:13" ht="33.75" hidden="1" thickBot="1">
      <c r="B3" s="50" t="s">
        <v>100</v>
      </c>
      <c r="C3" s="14" t="s">
        <v>102</v>
      </c>
      <c r="D3" s="15" t="s">
        <v>4</v>
      </c>
      <c r="E3" s="15" t="s">
        <v>16</v>
      </c>
      <c r="F3" s="15">
        <v>2</v>
      </c>
      <c r="G3" s="15" t="s">
        <v>111</v>
      </c>
    </row>
    <row r="4" spans="2:13" ht="33.75" hidden="1" thickBot="1">
      <c r="B4" s="50" t="s">
        <v>100</v>
      </c>
      <c r="C4" s="14" t="s">
        <v>101</v>
      </c>
      <c r="D4" s="15" t="s">
        <v>4</v>
      </c>
      <c r="E4" s="15" t="s">
        <v>16</v>
      </c>
      <c r="F4" s="15">
        <v>2</v>
      </c>
      <c r="G4" s="15" t="s">
        <v>111</v>
      </c>
      <c r="I4" s="20"/>
      <c r="J4" s="20"/>
      <c r="K4" s="20"/>
      <c r="L4" s="20"/>
    </row>
    <row r="5" spans="2:13">
      <c r="B5" s="21" t="s">
        <v>47</v>
      </c>
      <c r="C5" s="14" t="s">
        <v>34</v>
      </c>
      <c r="D5" s="15" t="s">
        <v>4</v>
      </c>
      <c r="E5" s="15" t="s">
        <v>9</v>
      </c>
      <c r="F5" s="15">
        <v>0.25</v>
      </c>
      <c r="G5" s="15" t="s">
        <v>35</v>
      </c>
      <c r="H5" s="22"/>
      <c r="I5" s="23" t="s">
        <v>36</v>
      </c>
      <c r="J5" s="24">
        <f>SUM(J6,J7,J8)</f>
        <v>80</v>
      </c>
      <c r="K5" s="25"/>
      <c r="L5" s="62"/>
      <c r="M5" s="26"/>
    </row>
    <row r="6" spans="2:13">
      <c r="B6" s="21" t="s">
        <v>47</v>
      </c>
      <c r="C6" s="14" t="s">
        <v>37</v>
      </c>
      <c r="D6" s="15" t="s">
        <v>4</v>
      </c>
      <c r="E6" s="15" t="s">
        <v>9</v>
      </c>
      <c r="F6" s="15">
        <v>0.25</v>
      </c>
      <c r="G6" s="15" t="s">
        <v>35</v>
      </c>
      <c r="H6" s="22"/>
      <c r="I6" s="27" t="s">
        <v>27</v>
      </c>
      <c r="J6" s="28">
        <f>COUNTIF(E5:E102,I6)</f>
        <v>45</v>
      </c>
      <c r="K6" s="29"/>
      <c r="L6" s="63"/>
      <c r="M6" s="26"/>
    </row>
    <row r="7" spans="2:13">
      <c r="B7" s="21" t="s">
        <v>47</v>
      </c>
      <c r="C7" s="14" t="s">
        <v>38</v>
      </c>
      <c r="D7" s="15" t="s">
        <v>4</v>
      </c>
      <c r="E7" s="15" t="s">
        <v>9</v>
      </c>
      <c r="F7" s="15">
        <v>0.25</v>
      </c>
      <c r="G7" s="15" t="s">
        <v>35</v>
      </c>
      <c r="H7" s="22"/>
      <c r="I7" s="30" t="s">
        <v>0</v>
      </c>
      <c r="J7" s="28">
        <f>COUNTIF(E5:E102,I7)</f>
        <v>24</v>
      </c>
      <c r="K7" s="29"/>
      <c r="L7" s="63"/>
      <c r="M7" s="26"/>
    </row>
    <row r="8" spans="2:13">
      <c r="B8" s="21" t="s">
        <v>47</v>
      </c>
      <c r="C8" s="14" t="s">
        <v>39</v>
      </c>
      <c r="D8" s="15" t="s">
        <v>4</v>
      </c>
      <c r="E8" s="15" t="s">
        <v>9</v>
      </c>
      <c r="F8" s="15">
        <v>0.5</v>
      </c>
      <c r="G8" s="15" t="s">
        <v>35</v>
      </c>
      <c r="H8" s="22"/>
      <c r="I8" s="31" t="s">
        <v>28</v>
      </c>
      <c r="J8" s="28">
        <f>COUNTIF(E5:E102,I8)</f>
        <v>11</v>
      </c>
      <c r="K8" s="29"/>
      <c r="L8" s="63"/>
      <c r="M8" s="26"/>
    </row>
    <row r="9" spans="2:13" hidden="1">
      <c r="B9" s="21" t="s">
        <v>47</v>
      </c>
      <c r="C9" s="14" t="s">
        <v>40</v>
      </c>
      <c r="D9" s="15" t="s">
        <v>4</v>
      </c>
      <c r="E9" s="15" t="s">
        <v>16</v>
      </c>
      <c r="F9" s="15">
        <v>1</v>
      </c>
      <c r="G9" s="15" t="s">
        <v>111</v>
      </c>
      <c r="H9" s="22"/>
      <c r="I9" s="32" t="s">
        <v>17</v>
      </c>
      <c r="J9" s="28">
        <f>COUNTIF(G5:G102,I9)</f>
        <v>62</v>
      </c>
      <c r="K9" s="33">
        <f>J9/J5</f>
        <v>0.77500000000000002</v>
      </c>
      <c r="L9" s="63"/>
      <c r="M9" s="26"/>
    </row>
    <row r="10" spans="2:13">
      <c r="B10" s="21" t="s">
        <v>47</v>
      </c>
      <c r="C10" s="14" t="s">
        <v>46</v>
      </c>
      <c r="D10" s="15" t="s">
        <v>4</v>
      </c>
      <c r="E10" s="15" t="s">
        <v>9</v>
      </c>
      <c r="F10" s="15">
        <v>2</v>
      </c>
      <c r="G10" s="15" t="s">
        <v>35</v>
      </c>
      <c r="H10" s="22"/>
      <c r="I10" s="34" t="s">
        <v>41</v>
      </c>
      <c r="J10" s="28">
        <f>COUNTIF(G5:G102,I10)</f>
        <v>17</v>
      </c>
      <c r="K10" s="35">
        <f>(J10+J11)/J5</f>
        <v>0.22500000000000001</v>
      </c>
      <c r="L10" s="63"/>
      <c r="M10" s="26"/>
    </row>
    <row r="11" spans="2:13" hidden="1">
      <c r="B11" s="36" t="s">
        <v>43</v>
      </c>
      <c r="C11" s="14" t="s">
        <v>48</v>
      </c>
      <c r="D11" s="15" t="s">
        <v>4</v>
      </c>
      <c r="E11" s="15" t="s">
        <v>16</v>
      </c>
      <c r="F11" s="15">
        <v>0.25</v>
      </c>
      <c r="G11" s="15" t="s">
        <v>111</v>
      </c>
      <c r="H11" s="22"/>
      <c r="I11" s="37" t="s">
        <v>42</v>
      </c>
      <c r="J11" s="19">
        <f>COUNTIF(G5:G102,I11)</f>
        <v>1</v>
      </c>
      <c r="K11" s="29"/>
      <c r="L11" s="63"/>
      <c r="M11" s="26"/>
    </row>
    <row r="12" spans="2:13" hidden="1">
      <c r="B12" s="36" t="s">
        <v>43</v>
      </c>
      <c r="C12" s="14" t="s">
        <v>52</v>
      </c>
      <c r="D12" s="15" t="s">
        <v>4</v>
      </c>
      <c r="E12" s="15" t="s">
        <v>16</v>
      </c>
      <c r="F12" s="15">
        <v>1</v>
      </c>
      <c r="G12" s="15" t="s">
        <v>111</v>
      </c>
      <c r="H12" s="22"/>
      <c r="I12" s="38"/>
      <c r="J12" s="19"/>
      <c r="K12" s="29"/>
      <c r="L12" s="63"/>
      <c r="M12" s="26"/>
    </row>
    <row r="13" spans="2:13" hidden="1">
      <c r="B13" s="36" t="s">
        <v>43</v>
      </c>
      <c r="C13" s="14" t="s">
        <v>49</v>
      </c>
      <c r="D13" s="15" t="s">
        <v>4</v>
      </c>
      <c r="E13" s="15" t="s">
        <v>16</v>
      </c>
      <c r="F13" s="15">
        <v>0.25</v>
      </c>
      <c r="G13" s="15" t="s">
        <v>111</v>
      </c>
      <c r="H13" s="22"/>
      <c r="I13" s="39" t="s">
        <v>44</v>
      </c>
      <c r="J13" s="19">
        <f>SUM(F5:F102)</f>
        <v>79.25</v>
      </c>
      <c r="K13" s="29"/>
      <c r="L13" s="63"/>
      <c r="M13" s="26"/>
    </row>
    <row r="14" spans="2:13" hidden="1">
      <c r="B14" s="36" t="s">
        <v>43</v>
      </c>
      <c r="C14" s="14" t="s">
        <v>50</v>
      </c>
      <c r="D14" s="15" t="s">
        <v>4</v>
      </c>
      <c r="E14" s="15" t="s">
        <v>16</v>
      </c>
      <c r="F14" s="15">
        <v>0.25</v>
      </c>
      <c r="G14" s="15" t="s">
        <v>111</v>
      </c>
      <c r="H14" s="22"/>
      <c r="I14" s="57" t="s">
        <v>45</v>
      </c>
      <c r="J14" s="19">
        <f>8*J13</f>
        <v>634</v>
      </c>
      <c r="K14" s="29"/>
      <c r="L14" s="63"/>
      <c r="M14" s="26"/>
    </row>
    <row r="15" spans="2:13" ht="35.25" hidden="1">
      <c r="B15" s="36" t="s">
        <v>43</v>
      </c>
      <c r="C15" s="14" t="s">
        <v>51</v>
      </c>
      <c r="D15" s="15" t="s">
        <v>4</v>
      </c>
      <c r="E15" s="15" t="s">
        <v>16</v>
      </c>
      <c r="F15" s="15">
        <v>1</v>
      </c>
      <c r="G15" s="15" t="s">
        <v>111</v>
      </c>
      <c r="H15" s="22"/>
      <c r="I15" s="58" t="s">
        <v>24</v>
      </c>
      <c r="J15" s="19"/>
      <c r="K15" s="29"/>
      <c r="L15" s="63"/>
      <c r="M15" s="26"/>
    </row>
    <row r="16" spans="2:13" ht="36" hidden="1" thickBot="1">
      <c r="B16" s="36" t="s">
        <v>43</v>
      </c>
      <c r="C16" s="14" t="s">
        <v>112</v>
      </c>
      <c r="D16" s="15" t="s">
        <v>4</v>
      </c>
      <c r="E16" s="15" t="s">
        <v>16</v>
      </c>
      <c r="F16" s="15">
        <v>1</v>
      </c>
      <c r="G16" s="15" t="s">
        <v>111</v>
      </c>
      <c r="H16" s="22"/>
      <c r="I16" s="59" t="s">
        <v>25</v>
      </c>
      <c r="J16" s="60"/>
      <c r="K16" s="61"/>
      <c r="L16" s="64"/>
      <c r="M16" s="26"/>
    </row>
    <row r="17" spans="2:12" ht="35.25" hidden="1">
      <c r="B17" s="36" t="s">
        <v>43</v>
      </c>
      <c r="C17" s="14" t="s">
        <v>113</v>
      </c>
      <c r="D17" s="15" t="s">
        <v>4</v>
      </c>
      <c r="E17" s="15" t="s">
        <v>16</v>
      </c>
      <c r="F17" s="15">
        <v>1</v>
      </c>
      <c r="G17" s="15" t="s">
        <v>111</v>
      </c>
      <c r="I17" s="56"/>
      <c r="J17" s="42"/>
      <c r="K17" s="42"/>
      <c r="L17" s="42"/>
    </row>
    <row r="18" spans="2:12" ht="35.25" hidden="1">
      <c r="B18" s="44" t="s">
        <v>74</v>
      </c>
      <c r="C18" s="14" t="s">
        <v>71</v>
      </c>
      <c r="D18" s="15" t="s">
        <v>4</v>
      </c>
      <c r="E18" s="15" t="s">
        <v>16</v>
      </c>
      <c r="F18" s="15">
        <v>0.25</v>
      </c>
      <c r="G18" s="15" t="s">
        <v>111</v>
      </c>
      <c r="I18" s="55"/>
    </row>
    <row r="19" spans="2:12" ht="35.25" hidden="1">
      <c r="B19" s="44" t="s">
        <v>74</v>
      </c>
      <c r="C19" s="14" t="s">
        <v>72</v>
      </c>
      <c r="D19" s="15" t="s">
        <v>4</v>
      </c>
      <c r="E19" s="15" t="s">
        <v>16</v>
      </c>
      <c r="F19" s="15">
        <v>0.25</v>
      </c>
      <c r="G19" s="15" t="s">
        <v>111</v>
      </c>
      <c r="I19" s="55"/>
    </row>
    <row r="20" spans="2:12" ht="35.25" hidden="1">
      <c r="B20" s="44" t="s">
        <v>74</v>
      </c>
      <c r="C20" s="14" t="s">
        <v>73</v>
      </c>
      <c r="D20" s="15" t="s">
        <v>4</v>
      </c>
      <c r="E20" s="15" t="s">
        <v>16</v>
      </c>
      <c r="F20" s="15">
        <v>0.25</v>
      </c>
      <c r="G20" s="15" t="s">
        <v>111</v>
      </c>
      <c r="I20" s="55"/>
    </row>
    <row r="21" spans="2:12" ht="35.25" hidden="1">
      <c r="B21" s="44" t="s">
        <v>74</v>
      </c>
      <c r="C21" s="14" t="s">
        <v>124</v>
      </c>
      <c r="D21" s="15" t="s">
        <v>4</v>
      </c>
      <c r="E21" s="15" t="s">
        <v>16</v>
      </c>
      <c r="F21" s="15">
        <v>0.25</v>
      </c>
      <c r="G21" s="15" t="s">
        <v>111</v>
      </c>
      <c r="I21" s="55"/>
    </row>
    <row r="22" spans="2:12" hidden="1">
      <c r="B22" s="43" t="s">
        <v>53</v>
      </c>
      <c r="C22" s="14" t="s">
        <v>54</v>
      </c>
      <c r="D22" s="15" t="s">
        <v>4</v>
      </c>
      <c r="E22" s="15" t="s">
        <v>16</v>
      </c>
      <c r="F22" s="15">
        <v>0.25</v>
      </c>
      <c r="G22" s="15" t="s">
        <v>111</v>
      </c>
    </row>
    <row r="23" spans="2:12" hidden="1">
      <c r="B23" s="43" t="s">
        <v>53</v>
      </c>
      <c r="C23" s="14" t="s">
        <v>65</v>
      </c>
      <c r="D23" s="15" t="s">
        <v>4</v>
      </c>
      <c r="E23" s="15" t="s">
        <v>16</v>
      </c>
      <c r="F23" s="15">
        <v>0.5</v>
      </c>
      <c r="G23" s="15" t="s">
        <v>111</v>
      </c>
    </row>
    <row r="24" spans="2:12" hidden="1">
      <c r="B24" s="43" t="s">
        <v>53</v>
      </c>
      <c r="C24" s="14" t="s">
        <v>66</v>
      </c>
      <c r="D24" s="15" t="s">
        <v>4</v>
      </c>
      <c r="E24" s="15" t="s">
        <v>16</v>
      </c>
      <c r="F24" s="15">
        <v>3</v>
      </c>
      <c r="G24" s="15" t="s">
        <v>111</v>
      </c>
    </row>
    <row r="25" spans="2:12" hidden="1">
      <c r="B25" s="43" t="s">
        <v>53</v>
      </c>
      <c r="C25" s="14" t="s">
        <v>69</v>
      </c>
      <c r="D25" s="15" t="s">
        <v>4</v>
      </c>
      <c r="E25" s="15" t="s">
        <v>16</v>
      </c>
      <c r="F25" s="15">
        <v>0.5</v>
      </c>
      <c r="G25" s="15" t="s">
        <v>111</v>
      </c>
    </row>
    <row r="26" spans="2:12" hidden="1">
      <c r="B26" s="43" t="s">
        <v>53</v>
      </c>
      <c r="C26" s="14" t="s">
        <v>63</v>
      </c>
      <c r="D26" s="15" t="s">
        <v>4</v>
      </c>
      <c r="E26" s="15" t="s">
        <v>16</v>
      </c>
      <c r="F26" s="15">
        <v>0.5</v>
      </c>
      <c r="G26" s="15" t="s">
        <v>111</v>
      </c>
    </row>
    <row r="27" spans="2:12" hidden="1">
      <c r="B27" s="43" t="s">
        <v>53</v>
      </c>
      <c r="C27" s="14" t="s">
        <v>64</v>
      </c>
      <c r="D27" s="15" t="s">
        <v>4</v>
      </c>
      <c r="E27" s="15" t="s">
        <v>16</v>
      </c>
      <c r="F27" s="15">
        <v>0.25</v>
      </c>
      <c r="G27" s="15" t="s">
        <v>111</v>
      </c>
    </row>
    <row r="28" spans="2:12" hidden="1">
      <c r="B28" s="43" t="s">
        <v>53</v>
      </c>
      <c r="C28" s="14" t="s">
        <v>68</v>
      </c>
      <c r="D28" s="15" t="s">
        <v>4</v>
      </c>
      <c r="E28" s="15" t="s">
        <v>16</v>
      </c>
      <c r="F28" s="15">
        <v>0.25</v>
      </c>
      <c r="G28" s="15" t="s">
        <v>111</v>
      </c>
    </row>
    <row r="29" spans="2:12" hidden="1">
      <c r="B29" s="43" t="s">
        <v>53</v>
      </c>
      <c r="C29" s="14" t="s">
        <v>70</v>
      </c>
      <c r="D29" s="15" t="s">
        <v>4</v>
      </c>
      <c r="E29" s="15" t="s">
        <v>16</v>
      </c>
      <c r="F29" s="15">
        <v>0.25</v>
      </c>
      <c r="G29" s="15" t="s">
        <v>111</v>
      </c>
    </row>
    <row r="30" spans="2:12">
      <c r="B30" s="43" t="s">
        <v>53</v>
      </c>
      <c r="C30" s="14" t="s">
        <v>75</v>
      </c>
      <c r="D30" s="15" t="s">
        <v>76</v>
      </c>
      <c r="E30" s="15" t="s">
        <v>16</v>
      </c>
      <c r="F30" s="15">
        <v>0.25</v>
      </c>
      <c r="G30" s="15" t="s">
        <v>35</v>
      </c>
    </row>
    <row r="31" spans="2:12" hidden="1">
      <c r="B31" s="43" t="s">
        <v>53</v>
      </c>
      <c r="C31" s="41" t="s">
        <v>55</v>
      </c>
      <c r="D31" s="15" t="s">
        <v>4</v>
      </c>
      <c r="E31" s="15" t="s">
        <v>16</v>
      </c>
      <c r="F31" s="15">
        <v>2</v>
      </c>
      <c r="G31" s="15" t="s">
        <v>111</v>
      </c>
    </row>
    <row r="32" spans="2:12" hidden="1">
      <c r="B32" s="43" t="s">
        <v>53</v>
      </c>
      <c r="C32" s="41" t="s">
        <v>56</v>
      </c>
      <c r="D32" s="15" t="s">
        <v>4</v>
      </c>
      <c r="E32" s="15" t="s">
        <v>16</v>
      </c>
      <c r="F32" s="15">
        <v>1</v>
      </c>
      <c r="G32" s="15" t="s">
        <v>111</v>
      </c>
    </row>
    <row r="33" spans="2:7" hidden="1">
      <c r="B33" s="43" t="s">
        <v>53</v>
      </c>
      <c r="C33" s="41" t="s">
        <v>67</v>
      </c>
      <c r="D33" s="15" t="s">
        <v>4</v>
      </c>
      <c r="E33" s="15" t="s">
        <v>16</v>
      </c>
      <c r="F33" s="15">
        <v>0.5</v>
      </c>
      <c r="G33" s="15" t="s">
        <v>111</v>
      </c>
    </row>
    <row r="34" spans="2:7" hidden="1">
      <c r="B34" s="43" t="s">
        <v>53</v>
      </c>
      <c r="C34" s="41" t="s">
        <v>57</v>
      </c>
      <c r="D34" s="15" t="s">
        <v>4</v>
      </c>
      <c r="E34" s="15" t="s">
        <v>16</v>
      </c>
      <c r="F34" s="15">
        <v>1</v>
      </c>
      <c r="G34" s="15" t="s">
        <v>111</v>
      </c>
    </row>
    <row r="35" spans="2:7" hidden="1">
      <c r="B35" s="43" t="s">
        <v>53</v>
      </c>
      <c r="C35" s="41" t="s">
        <v>58</v>
      </c>
      <c r="D35" s="15" t="s">
        <v>4</v>
      </c>
      <c r="E35" s="15" t="s">
        <v>16</v>
      </c>
      <c r="F35" s="15">
        <v>1</v>
      </c>
      <c r="G35" s="15" t="s">
        <v>111</v>
      </c>
    </row>
    <row r="36" spans="2:7" hidden="1">
      <c r="B36" s="43" t="s">
        <v>53</v>
      </c>
      <c r="C36" s="41" t="s">
        <v>130</v>
      </c>
      <c r="D36" s="15" t="s">
        <v>4</v>
      </c>
      <c r="E36" s="15" t="s">
        <v>16</v>
      </c>
      <c r="F36" s="15">
        <v>1</v>
      </c>
      <c r="G36" s="15" t="s">
        <v>111</v>
      </c>
    </row>
    <row r="37" spans="2:7" hidden="1">
      <c r="B37" s="43" t="s">
        <v>53</v>
      </c>
      <c r="C37" s="41" t="s">
        <v>131</v>
      </c>
      <c r="D37" s="15" t="s">
        <v>4</v>
      </c>
      <c r="E37" s="15" t="s">
        <v>16</v>
      </c>
      <c r="F37" s="15">
        <v>1</v>
      </c>
      <c r="G37" s="15" t="s">
        <v>111</v>
      </c>
    </row>
    <row r="38" spans="2:7" hidden="1">
      <c r="B38" s="43" t="s">
        <v>53</v>
      </c>
      <c r="C38" s="41" t="s">
        <v>59</v>
      </c>
      <c r="D38" s="15" t="s">
        <v>4</v>
      </c>
      <c r="E38" s="15" t="s">
        <v>16</v>
      </c>
      <c r="F38" s="15">
        <v>1</v>
      </c>
      <c r="G38" s="15" t="s">
        <v>111</v>
      </c>
    </row>
    <row r="39" spans="2:7" hidden="1">
      <c r="B39" s="43" t="s">
        <v>53</v>
      </c>
      <c r="C39" s="41" t="s">
        <v>60</v>
      </c>
      <c r="D39" s="15" t="s">
        <v>4</v>
      </c>
      <c r="E39" s="15" t="s">
        <v>16</v>
      </c>
      <c r="F39" s="15">
        <v>1</v>
      </c>
      <c r="G39" s="15" t="s">
        <v>111</v>
      </c>
    </row>
    <row r="40" spans="2:7" hidden="1">
      <c r="B40" s="43" t="s">
        <v>62</v>
      </c>
      <c r="C40" s="14" t="s">
        <v>61</v>
      </c>
      <c r="D40" s="15" t="s">
        <v>4</v>
      </c>
      <c r="E40" s="15" t="s">
        <v>16</v>
      </c>
      <c r="F40" s="15">
        <v>0.5</v>
      </c>
      <c r="G40" s="15" t="s">
        <v>111</v>
      </c>
    </row>
    <row r="41" spans="2:7" hidden="1">
      <c r="B41" s="43" t="s">
        <v>53</v>
      </c>
      <c r="C41" s="14" t="s">
        <v>134</v>
      </c>
      <c r="D41" s="15" t="s">
        <v>114</v>
      </c>
      <c r="E41" s="15" t="s">
        <v>9</v>
      </c>
      <c r="F41" s="15">
        <v>0.25</v>
      </c>
      <c r="G41" s="15" t="s">
        <v>111</v>
      </c>
    </row>
    <row r="42" spans="2:7" hidden="1">
      <c r="B42" s="45" t="s">
        <v>98</v>
      </c>
      <c r="C42" s="14" t="s">
        <v>86</v>
      </c>
      <c r="D42" s="15" t="s">
        <v>4</v>
      </c>
      <c r="E42" s="15" t="s">
        <v>16</v>
      </c>
      <c r="F42" s="15">
        <v>0.5</v>
      </c>
      <c r="G42" s="15" t="s">
        <v>111</v>
      </c>
    </row>
    <row r="43" spans="2:7" hidden="1">
      <c r="B43" s="45" t="s">
        <v>98</v>
      </c>
      <c r="C43" s="14" t="s">
        <v>87</v>
      </c>
      <c r="D43" s="15" t="s">
        <v>4</v>
      </c>
      <c r="E43" s="15" t="s">
        <v>16</v>
      </c>
      <c r="F43" s="15">
        <v>0.5</v>
      </c>
      <c r="G43" s="15" t="s">
        <v>111</v>
      </c>
    </row>
    <row r="44" spans="2:7" hidden="1">
      <c r="B44" s="45" t="s">
        <v>98</v>
      </c>
      <c r="C44" s="14" t="s">
        <v>81</v>
      </c>
      <c r="D44" s="15" t="s">
        <v>4</v>
      </c>
      <c r="E44" s="15" t="s">
        <v>16</v>
      </c>
      <c r="F44" s="15">
        <v>0.5</v>
      </c>
      <c r="G44" s="15" t="s">
        <v>111</v>
      </c>
    </row>
    <row r="45" spans="2:7" hidden="1">
      <c r="B45" s="45" t="s">
        <v>77</v>
      </c>
      <c r="C45" s="14" t="s">
        <v>82</v>
      </c>
      <c r="D45" s="15" t="s">
        <v>4</v>
      </c>
      <c r="E45" s="15" t="s">
        <v>16</v>
      </c>
      <c r="F45" s="15">
        <v>1</v>
      </c>
      <c r="G45" s="15" t="s">
        <v>111</v>
      </c>
    </row>
    <row r="46" spans="2:7" hidden="1">
      <c r="B46" s="45" t="s">
        <v>78</v>
      </c>
      <c r="C46" s="14" t="s">
        <v>83</v>
      </c>
      <c r="D46" s="15" t="s">
        <v>4</v>
      </c>
      <c r="E46" s="15" t="s">
        <v>16</v>
      </c>
      <c r="F46" s="15">
        <v>1</v>
      </c>
      <c r="G46" s="15" t="s">
        <v>111</v>
      </c>
    </row>
    <row r="47" spans="2:7" hidden="1">
      <c r="B47" s="45" t="s">
        <v>80</v>
      </c>
      <c r="C47" s="14" t="s">
        <v>84</v>
      </c>
      <c r="D47" s="15" t="s">
        <v>114</v>
      </c>
      <c r="E47" s="15" t="s">
        <v>9</v>
      </c>
      <c r="F47" s="15">
        <v>1</v>
      </c>
      <c r="G47" s="15" t="s">
        <v>111</v>
      </c>
    </row>
    <row r="48" spans="2:7">
      <c r="B48" s="45" t="s">
        <v>79</v>
      </c>
      <c r="C48" s="14" t="s">
        <v>85</v>
      </c>
      <c r="D48" s="15" t="s">
        <v>114</v>
      </c>
      <c r="E48" s="15" t="s">
        <v>9</v>
      </c>
      <c r="F48" s="15">
        <v>1</v>
      </c>
      <c r="G48" s="15" t="s">
        <v>35</v>
      </c>
    </row>
    <row r="49" spans="2:7" hidden="1">
      <c r="B49" s="45" t="s">
        <v>141</v>
      </c>
      <c r="C49" s="14" t="s">
        <v>145</v>
      </c>
      <c r="D49" s="15" t="s">
        <v>4</v>
      </c>
      <c r="E49" s="15" t="s">
        <v>16</v>
      </c>
      <c r="F49" s="15">
        <v>1</v>
      </c>
      <c r="G49" s="15" t="s">
        <v>111</v>
      </c>
    </row>
    <row r="50" spans="2:7" hidden="1">
      <c r="B50" s="45" t="s">
        <v>142</v>
      </c>
      <c r="C50" s="14" t="s">
        <v>146</v>
      </c>
      <c r="D50" s="15" t="s">
        <v>4</v>
      </c>
      <c r="E50" s="15" t="s">
        <v>9</v>
      </c>
      <c r="F50" s="15">
        <v>4</v>
      </c>
      <c r="G50" s="15" t="s">
        <v>111</v>
      </c>
    </row>
    <row r="51" spans="2:7" hidden="1">
      <c r="B51" s="45" t="s">
        <v>143</v>
      </c>
      <c r="C51" s="14" t="s">
        <v>147</v>
      </c>
      <c r="D51" s="15" t="s">
        <v>4</v>
      </c>
      <c r="E51" s="15" t="s">
        <v>9</v>
      </c>
      <c r="F51" s="15">
        <v>4</v>
      </c>
      <c r="G51" s="15" t="s">
        <v>111</v>
      </c>
    </row>
    <row r="52" spans="2:7" hidden="1">
      <c r="B52" s="45" t="s">
        <v>144</v>
      </c>
      <c r="C52" s="14" t="s">
        <v>148</v>
      </c>
      <c r="D52" s="15" t="s">
        <v>4</v>
      </c>
      <c r="E52" s="15" t="s">
        <v>9</v>
      </c>
      <c r="F52" s="15">
        <v>6</v>
      </c>
      <c r="G52" s="15" t="s">
        <v>149</v>
      </c>
    </row>
    <row r="53" spans="2:7" hidden="1">
      <c r="B53" s="46" t="s">
        <v>88</v>
      </c>
      <c r="C53" s="14" t="s">
        <v>135</v>
      </c>
      <c r="D53" s="15" t="s">
        <v>4</v>
      </c>
      <c r="E53" s="15" t="s">
        <v>9</v>
      </c>
      <c r="F53" s="15">
        <v>1</v>
      </c>
      <c r="G53" s="15" t="s">
        <v>111</v>
      </c>
    </row>
    <row r="54" spans="2:7" hidden="1">
      <c r="B54" s="46" t="s">
        <v>46</v>
      </c>
      <c r="C54" s="14" t="s">
        <v>136</v>
      </c>
      <c r="D54" s="15" t="s">
        <v>4</v>
      </c>
      <c r="E54" s="15" t="s">
        <v>9</v>
      </c>
      <c r="F54" s="15">
        <v>1</v>
      </c>
      <c r="G54" s="15" t="s">
        <v>111</v>
      </c>
    </row>
    <row r="55" spans="2:7" hidden="1">
      <c r="B55" s="46" t="s">
        <v>46</v>
      </c>
      <c r="C55" s="14" t="s">
        <v>137</v>
      </c>
      <c r="D55" s="15" t="s">
        <v>4</v>
      </c>
      <c r="E55" s="15" t="s">
        <v>9</v>
      </c>
      <c r="F55" s="15">
        <v>1</v>
      </c>
      <c r="G55" s="15" t="s">
        <v>111</v>
      </c>
    </row>
    <row r="56" spans="2:7">
      <c r="B56" s="46" t="s">
        <v>46</v>
      </c>
      <c r="C56" s="14" t="s">
        <v>138</v>
      </c>
      <c r="D56" s="15" t="s">
        <v>4</v>
      </c>
      <c r="E56" s="15" t="s">
        <v>9</v>
      </c>
      <c r="F56" s="15">
        <v>3</v>
      </c>
      <c r="G56" s="15" t="s">
        <v>35</v>
      </c>
    </row>
    <row r="57" spans="2:7">
      <c r="B57" s="46" t="s">
        <v>88</v>
      </c>
      <c r="C57" s="14" t="s">
        <v>139</v>
      </c>
      <c r="D57" s="15" t="s">
        <v>4</v>
      </c>
      <c r="E57" s="15" t="s">
        <v>9</v>
      </c>
      <c r="F57" s="15">
        <v>3</v>
      </c>
      <c r="G57" s="15" t="s">
        <v>35</v>
      </c>
    </row>
    <row r="58" spans="2:7">
      <c r="B58" s="46" t="s">
        <v>88</v>
      </c>
      <c r="C58" s="14" t="s">
        <v>140</v>
      </c>
      <c r="D58" s="15" t="s">
        <v>4</v>
      </c>
      <c r="E58" s="15" t="s">
        <v>9</v>
      </c>
      <c r="F58" s="15">
        <v>3</v>
      </c>
      <c r="G58" s="15" t="s">
        <v>35</v>
      </c>
    </row>
    <row r="59" spans="2:7" hidden="1">
      <c r="B59" s="47" t="s">
        <v>89</v>
      </c>
      <c r="C59" s="14" t="s">
        <v>133</v>
      </c>
      <c r="D59" s="15" t="s">
        <v>4</v>
      </c>
      <c r="E59" s="15" t="s">
        <v>9</v>
      </c>
      <c r="F59" s="15">
        <v>0.25</v>
      </c>
      <c r="G59" s="15" t="s">
        <v>111</v>
      </c>
    </row>
    <row r="60" spans="2:7" hidden="1">
      <c r="B60" s="47" t="s">
        <v>89</v>
      </c>
      <c r="C60" s="14" t="s">
        <v>118</v>
      </c>
      <c r="D60" s="15" t="s">
        <v>4</v>
      </c>
      <c r="E60" s="15" t="s">
        <v>16</v>
      </c>
      <c r="F60" s="15">
        <v>1</v>
      </c>
      <c r="G60" s="15" t="s">
        <v>111</v>
      </c>
    </row>
    <row r="61" spans="2:7" hidden="1">
      <c r="B61" s="47" t="s">
        <v>89</v>
      </c>
      <c r="C61" s="14" t="s">
        <v>119</v>
      </c>
      <c r="D61" s="15" t="s">
        <v>4</v>
      </c>
      <c r="E61" s="15" t="s">
        <v>9</v>
      </c>
      <c r="F61" s="15">
        <v>1</v>
      </c>
      <c r="G61" s="15" t="s">
        <v>111</v>
      </c>
    </row>
    <row r="62" spans="2:7" hidden="1">
      <c r="B62" s="54" t="s">
        <v>126</v>
      </c>
      <c r="C62" s="14" t="s">
        <v>127</v>
      </c>
      <c r="D62" s="15" t="s">
        <v>4</v>
      </c>
      <c r="E62" s="15" t="s">
        <v>16</v>
      </c>
      <c r="F62" s="15">
        <v>1</v>
      </c>
      <c r="G62" s="15" t="s">
        <v>111</v>
      </c>
    </row>
    <row r="63" spans="2:7" hidden="1">
      <c r="B63" s="54" t="s">
        <v>126</v>
      </c>
      <c r="C63" s="14" t="s">
        <v>128</v>
      </c>
      <c r="D63" s="15" t="s">
        <v>4</v>
      </c>
      <c r="E63" s="15" t="s">
        <v>16</v>
      </c>
      <c r="F63" s="15">
        <v>1</v>
      </c>
      <c r="G63" s="15" t="s">
        <v>111</v>
      </c>
    </row>
    <row r="64" spans="2:7" hidden="1">
      <c r="B64" s="54" t="s">
        <v>126</v>
      </c>
      <c r="C64" s="14" t="s">
        <v>129</v>
      </c>
      <c r="D64" s="15" t="s">
        <v>4</v>
      </c>
      <c r="E64" s="15" t="s">
        <v>16</v>
      </c>
      <c r="F64" s="15">
        <v>1</v>
      </c>
      <c r="G64" s="15" t="s">
        <v>111</v>
      </c>
    </row>
    <row r="65" spans="2:7">
      <c r="B65" s="48" t="s">
        <v>90</v>
      </c>
      <c r="C65" s="14" t="s">
        <v>91</v>
      </c>
      <c r="D65" s="15" t="s">
        <v>4</v>
      </c>
      <c r="E65" s="15" t="s">
        <v>16</v>
      </c>
      <c r="F65" s="15">
        <v>0.5</v>
      </c>
      <c r="G65" s="15" t="s">
        <v>35</v>
      </c>
    </row>
    <row r="66" spans="2:7">
      <c r="B66" s="48" t="s">
        <v>90</v>
      </c>
      <c r="C66" s="14" t="s">
        <v>92</v>
      </c>
      <c r="D66" s="15" t="s">
        <v>4</v>
      </c>
      <c r="E66" s="15" t="s">
        <v>115</v>
      </c>
      <c r="F66" s="15">
        <v>0.25</v>
      </c>
      <c r="G66" s="15" t="s">
        <v>35</v>
      </c>
    </row>
    <row r="67" spans="2:7" hidden="1">
      <c r="B67" s="49" t="s">
        <v>99</v>
      </c>
      <c r="C67" s="14" t="s">
        <v>93</v>
      </c>
      <c r="D67" s="15" t="s">
        <v>4</v>
      </c>
      <c r="E67" s="15" t="s">
        <v>115</v>
      </c>
      <c r="F67" s="15">
        <v>1</v>
      </c>
      <c r="G67" s="15" t="s">
        <v>111</v>
      </c>
    </row>
    <row r="68" spans="2:7" hidden="1">
      <c r="B68" s="49" t="s">
        <v>99</v>
      </c>
      <c r="C68" s="14" t="s">
        <v>95</v>
      </c>
      <c r="D68" s="15" t="s">
        <v>4</v>
      </c>
      <c r="E68" s="15" t="s">
        <v>115</v>
      </c>
      <c r="F68" s="15">
        <v>1</v>
      </c>
      <c r="G68" s="15" t="s">
        <v>111</v>
      </c>
    </row>
    <row r="69" spans="2:7" hidden="1">
      <c r="B69" s="49" t="s">
        <v>99</v>
      </c>
      <c r="C69" s="14" t="s">
        <v>132</v>
      </c>
      <c r="D69" s="15" t="s">
        <v>4</v>
      </c>
      <c r="E69" s="15" t="s">
        <v>115</v>
      </c>
      <c r="F69" s="15">
        <v>1</v>
      </c>
      <c r="G69" s="15" t="s">
        <v>111</v>
      </c>
    </row>
    <row r="70" spans="2:7" hidden="1">
      <c r="B70" s="49" t="s">
        <v>99</v>
      </c>
      <c r="C70" s="14" t="s">
        <v>94</v>
      </c>
      <c r="D70" s="15" t="s">
        <v>4</v>
      </c>
      <c r="E70" s="15" t="s">
        <v>115</v>
      </c>
      <c r="F70" s="15">
        <v>1</v>
      </c>
      <c r="G70" s="15" t="s">
        <v>111</v>
      </c>
    </row>
    <row r="71" spans="2:7" hidden="1">
      <c r="B71" s="49" t="s">
        <v>99</v>
      </c>
      <c r="C71" s="14" t="s">
        <v>120</v>
      </c>
      <c r="D71" s="15" t="s">
        <v>4</v>
      </c>
      <c r="E71" s="15" t="s">
        <v>115</v>
      </c>
      <c r="F71" s="15">
        <v>1</v>
      </c>
      <c r="G71" s="15" t="s">
        <v>111</v>
      </c>
    </row>
    <row r="72" spans="2:7">
      <c r="B72" s="49" t="s">
        <v>99</v>
      </c>
      <c r="C72" s="14" t="s">
        <v>97</v>
      </c>
      <c r="D72" s="15" t="s">
        <v>4</v>
      </c>
      <c r="E72" s="15" t="s">
        <v>9</v>
      </c>
      <c r="F72" s="15">
        <v>1</v>
      </c>
      <c r="G72" s="15" t="s">
        <v>35</v>
      </c>
    </row>
    <row r="73" spans="2:7" hidden="1">
      <c r="B73" s="49" t="s">
        <v>99</v>
      </c>
      <c r="C73" s="14" t="s">
        <v>96</v>
      </c>
      <c r="D73" s="15" t="s">
        <v>4</v>
      </c>
      <c r="E73" s="15" t="s">
        <v>115</v>
      </c>
      <c r="F73" s="15">
        <v>1</v>
      </c>
      <c r="G73" s="15" t="s">
        <v>111</v>
      </c>
    </row>
    <row r="74" spans="2:7">
      <c r="B74" s="49" t="s">
        <v>99</v>
      </c>
      <c r="C74" s="14" t="s">
        <v>125</v>
      </c>
      <c r="D74" s="15" t="s">
        <v>4</v>
      </c>
      <c r="E74" s="15" t="s">
        <v>115</v>
      </c>
      <c r="F74" s="15">
        <v>1</v>
      </c>
      <c r="G74" s="15" t="s">
        <v>35</v>
      </c>
    </row>
    <row r="75" spans="2:7">
      <c r="B75" s="51" t="s">
        <v>103</v>
      </c>
      <c r="C75" s="14" t="s">
        <v>104</v>
      </c>
      <c r="D75" s="15" t="s">
        <v>4</v>
      </c>
      <c r="E75" s="15" t="s">
        <v>115</v>
      </c>
      <c r="F75" s="15">
        <v>1</v>
      </c>
      <c r="G75" s="15" t="s">
        <v>35</v>
      </c>
    </row>
    <row r="76" spans="2:7">
      <c r="B76" s="51" t="s">
        <v>103</v>
      </c>
      <c r="C76" s="14" t="s">
        <v>105</v>
      </c>
      <c r="D76" s="15" t="s">
        <v>4</v>
      </c>
      <c r="E76" s="15" t="s">
        <v>115</v>
      </c>
      <c r="F76" s="15">
        <v>1</v>
      </c>
      <c r="G76" s="15" t="s">
        <v>35</v>
      </c>
    </row>
    <row r="77" spans="2:7">
      <c r="B77" s="51" t="s">
        <v>103</v>
      </c>
      <c r="C77" s="14" t="s">
        <v>106</v>
      </c>
      <c r="D77" s="15" t="s">
        <v>4</v>
      </c>
      <c r="E77" s="15" t="s">
        <v>115</v>
      </c>
      <c r="F77" s="15">
        <v>1</v>
      </c>
      <c r="G77" s="15" t="s">
        <v>35</v>
      </c>
    </row>
    <row r="78" spans="2:7" hidden="1">
      <c r="B78" s="52" t="s">
        <v>107</v>
      </c>
      <c r="C78" s="14" t="s">
        <v>108</v>
      </c>
      <c r="D78" s="15" t="s">
        <v>4</v>
      </c>
      <c r="E78" s="15" t="s">
        <v>16</v>
      </c>
      <c r="F78" s="15">
        <v>1</v>
      </c>
      <c r="G78" s="15" t="s">
        <v>111</v>
      </c>
    </row>
    <row r="79" spans="2:7" hidden="1">
      <c r="B79" s="52" t="s">
        <v>107</v>
      </c>
      <c r="C79" s="14" t="s">
        <v>109</v>
      </c>
      <c r="D79" s="15" t="s">
        <v>4</v>
      </c>
      <c r="E79" s="15" t="s">
        <v>16</v>
      </c>
      <c r="F79" s="15">
        <v>0.5</v>
      </c>
      <c r="G79" s="15" t="s">
        <v>111</v>
      </c>
    </row>
    <row r="80" spans="2:7" hidden="1">
      <c r="B80" s="52" t="s">
        <v>107</v>
      </c>
      <c r="C80" s="14" t="s">
        <v>110</v>
      </c>
      <c r="D80" s="15" t="s">
        <v>4</v>
      </c>
      <c r="E80" s="15" t="s">
        <v>16</v>
      </c>
      <c r="F80" s="15">
        <v>0.5</v>
      </c>
      <c r="G80" s="15" t="s">
        <v>111</v>
      </c>
    </row>
    <row r="81" spans="2:7" hidden="1">
      <c r="B81" s="52" t="s">
        <v>107</v>
      </c>
      <c r="C81" s="14" t="s">
        <v>116</v>
      </c>
      <c r="D81" s="15" t="s">
        <v>4</v>
      </c>
      <c r="E81" s="15" t="s">
        <v>9</v>
      </c>
      <c r="F81" s="15">
        <v>0.25</v>
      </c>
      <c r="G81" s="15" t="s">
        <v>111</v>
      </c>
    </row>
    <row r="82" spans="2:7" hidden="1">
      <c r="B82" s="53" t="s">
        <v>117</v>
      </c>
      <c r="C82" s="14" t="s">
        <v>121</v>
      </c>
      <c r="D82" s="15" t="s">
        <v>4</v>
      </c>
      <c r="E82" s="15" t="s">
        <v>9</v>
      </c>
      <c r="F82" s="15">
        <v>0.5</v>
      </c>
      <c r="G82" s="15" t="s">
        <v>111</v>
      </c>
    </row>
    <row r="83" spans="2:7" hidden="1">
      <c r="B83" s="53" t="s">
        <v>117</v>
      </c>
      <c r="C83" s="14" t="s">
        <v>122</v>
      </c>
      <c r="D83" s="15" t="s">
        <v>4</v>
      </c>
      <c r="E83" s="15" t="s">
        <v>9</v>
      </c>
      <c r="F83" s="15">
        <v>0.5</v>
      </c>
      <c r="G83" s="15" t="s">
        <v>111</v>
      </c>
    </row>
    <row r="84" spans="2:7" hidden="1">
      <c r="B84" s="53" t="s">
        <v>117</v>
      </c>
      <c r="C84" s="14" t="s">
        <v>123</v>
      </c>
      <c r="D84" s="15" t="s">
        <v>4</v>
      </c>
      <c r="E84" s="15" t="s">
        <v>9</v>
      </c>
      <c r="F84" s="15">
        <v>0.5</v>
      </c>
      <c r="G84" s="15" t="s">
        <v>111</v>
      </c>
    </row>
    <row r="85" spans="2:7" hidden="1"/>
    <row r="86" spans="2:7" hidden="1"/>
    <row r="87" spans="2:7" hidden="1"/>
    <row r="88" spans="2:7" hidden="1"/>
    <row r="89" spans="2:7" hidden="1"/>
    <row r="90" spans="2:7" hidden="1"/>
    <row r="91" spans="2:7" hidden="1"/>
    <row r="92" spans="2:7" hidden="1"/>
    <row r="93" spans="2:7" hidden="1"/>
    <row r="94" spans="2:7" hidden="1"/>
    <row r="95" spans="2:7" hidden="1"/>
    <row r="96" spans="2:7" hidden="1">
      <c r="C96" s="18"/>
    </row>
    <row r="97" spans="7:7" hidden="1"/>
    <row r="98" spans="7:7" hidden="1"/>
    <row r="99" spans="7:7" hidden="1"/>
    <row r="100" spans="7:7" hidden="1"/>
    <row r="101" spans="7:7" hidden="1"/>
    <row r="102" spans="7:7" hidden="1"/>
    <row r="103" spans="7:7" hidden="1"/>
    <row r="104" spans="7:7" hidden="1"/>
    <row r="105" spans="7:7">
      <c r="G105" s="40"/>
    </row>
  </sheetData>
  <autoFilter ref="C2:G104" xr:uid="{00000000-0001-0000-0000-000000000000}">
    <filterColumn colId="4">
      <filters>
        <filter val="未着手"/>
      </filters>
    </filterColumn>
  </autoFilter>
  <phoneticPr fontId="1"/>
  <dataValidations count="3">
    <dataValidation type="list" allowBlank="1" showInputMessage="1" showErrorMessage="1" sqref="D3:D104" xr:uid="{AF10AFEC-2E3A-4CB7-ABD8-6255C47E78C2}">
      <formula1>"S,A,B,C"</formula1>
    </dataValidation>
    <dataValidation type="list" allowBlank="1" showInputMessage="1" showErrorMessage="1" sqref="E3:E104" xr:uid="{8982FD40-CA4D-4B92-93FE-B37B6B67ACD6}">
      <formula1>"プロト,アルファ,ベータ,マスタ"</formula1>
    </dataValidation>
    <dataValidation type="list" allowBlank="1" showInputMessage="1" showErrorMessage="1" sqref="G3:G104" xr:uid="{E1CFE88F-4F87-4696-BE21-1133C2AEB8C1}">
      <formula1>"未着手,作業中,完了"</formula1>
    </dataValidation>
  </dataValidation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4574505-c322-4981-8ebb-5d25af8d4de8" xsi:nil="true"/>
    <_x8a73__x7d30_ xmlns="098a3c11-7ac2-46ba-89ce-8b2d5c9f76f8" xsi:nil="true"/>
    <lcf76f155ced4ddcb4097134ff3c332f xmlns="098a3c11-7ac2-46ba-89ce-8b2d5c9f76f8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9C7952A5A25B2543AB99BC9B879A46ED" ma:contentTypeVersion="16" ma:contentTypeDescription="新しいドキュメントを作成します。" ma:contentTypeScope="" ma:versionID="18ce886227b4f7d0c1a56646945dc47e">
  <xsd:schema xmlns:xsd="http://www.w3.org/2001/XMLSchema" xmlns:xs="http://www.w3.org/2001/XMLSchema" xmlns:p="http://schemas.microsoft.com/office/2006/metadata/properties" xmlns:ns2="098a3c11-7ac2-46ba-89ce-8b2d5c9f76f8" xmlns:ns3="04574505-c322-4981-8ebb-5d25af8d4de8" targetNamespace="http://schemas.microsoft.com/office/2006/metadata/properties" ma:root="true" ma:fieldsID="e5be0a050d98fc17aa9c3986a154fc28" ns2:_="" ns3:_="">
    <xsd:import namespace="098a3c11-7ac2-46ba-89ce-8b2d5c9f76f8"/>
    <xsd:import namespace="04574505-c322-4981-8ebb-5d25af8d4de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3:SharedWithUsers" minOccurs="0"/>
                <xsd:element ref="ns3:SharedWithDetails" minOccurs="0"/>
                <xsd:element ref="ns2:_x8a73__x7d30_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98a3c11-7ac2-46ba-89ce-8b2d5c9f76f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画像タグ" ma:readOnly="false" ma:fieldId="{5cf76f15-5ced-4ddc-b409-7134ff3c332f}" ma:taxonomyMulti="true" ma:sspId="c7b788f1-635f-435b-a825-11a9aec0b64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_x8a73__x7d30_" ma:index="22" nillable="true" ma:displayName="詳細" ma:format="Dropdown" ma:internalName="_x8a73__x7d30_">
      <xsd:simpleType>
        <xsd:restriction base="dms:Text">
          <xsd:maxLength value="255"/>
        </xsd:restriction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4574505-c322-4981-8ebb-5d25af8d4de8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91ae2ab-cca2-4bde-8a9d-64dd23fd4099}" ma:internalName="TaxCatchAll" ma:showField="CatchAllData" ma:web="04574505-c322-4981-8ebb-5d25af8d4de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BF17534-2B47-4857-AC25-7C99424F8AA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02E9DAB-F6A4-45C4-BAF5-BF43C147BB10}">
  <ds:schemaRefs>
    <ds:schemaRef ds:uri="http://schemas.microsoft.com/office/2006/metadata/properties"/>
    <ds:schemaRef ds:uri="http://schemas.microsoft.com/office/infopath/2007/PartnerControls"/>
    <ds:schemaRef ds:uri="04574505-c322-4981-8ebb-5d25af8d4de8"/>
    <ds:schemaRef ds:uri="098a3c11-7ac2-46ba-89ce-8b2d5c9f76f8"/>
  </ds:schemaRefs>
</ds:datastoreItem>
</file>

<file path=customXml/itemProps3.xml><?xml version="1.0" encoding="utf-8"?>
<ds:datastoreItem xmlns:ds="http://schemas.openxmlformats.org/officeDocument/2006/customXml" ds:itemID="{F472F951-64CD-40D8-896F-068DA14071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98a3c11-7ac2-46ba-89ce-8b2d5c9f76f8"/>
    <ds:schemaRef ds:uri="04574505-c322-4981-8ebb-5d25af8d4de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概要</vt:lpstr>
      <vt:lpstr>作業工数見積もり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teacherM</dc:creator>
  <cp:keywords/>
  <dc:description/>
  <cp:lastModifiedBy>恋 井上</cp:lastModifiedBy>
  <cp:revision/>
  <dcterms:created xsi:type="dcterms:W3CDTF">2015-06-05T18:19:34Z</dcterms:created>
  <dcterms:modified xsi:type="dcterms:W3CDTF">2025-11-24T12:14:02Z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0x0101009C7952A5A25B2543AB99BC9B879A46ED</vt:lpwstr>
  </property>
</Properties>
</file>