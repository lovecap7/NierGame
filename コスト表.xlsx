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A665BB2C-FE52-45FE-B8EE-1581C0D1DB8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作業工数見積もり!$C$2:$H$116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10" i="1"/>
  <c r="K13" i="1"/>
  <c r="K14" i="1" s="1"/>
  <c r="C3" i="5"/>
  <c r="K11" i="1"/>
  <c r="K9" i="1"/>
  <c r="K8" i="1"/>
  <c r="K7" i="1"/>
  <c r="K6" i="1"/>
  <c r="C4" i="5"/>
  <c r="C6" i="5"/>
  <c r="C7" i="5"/>
  <c r="C5" i="5" s="1"/>
  <c r="D11" i="5"/>
  <c r="D12" i="5"/>
  <c r="K5" i="1" l="1"/>
  <c r="L9" i="1" s="1"/>
  <c r="E12" i="5"/>
  <c r="D5" i="5"/>
  <c r="E10" i="5"/>
  <c r="E11" i="5"/>
  <c r="L10" i="1" l="1"/>
</calcChain>
</file>

<file path=xl/sharedStrings.xml><?xml version="1.0" encoding="utf-8"?>
<sst xmlns="http://schemas.openxmlformats.org/spreadsheetml/2006/main" count="513" uniqueCount="161">
  <si>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</si>
  <si>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</si>
  <si>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</si>
  <si>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</si>
  <si>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</si>
  <si>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</si>
  <si>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</si>
  <si>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</si>
  <si>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</si>
  <si>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</si>
  <si>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</si>
  <si>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</si>
  <si>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</si>
  <si>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</si>
  <si>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</si>
  <si>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</si>
  <si>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</si>
  <si>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</si>
  <si>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</si>
  <si>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</si>
  <si>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</si>
  <si>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</si>
  <si>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</si>
  <si>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</si>
  <si>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</si>
  <si>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</si>
  <si>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</si>
  <si>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</si>
  <si>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</si>
  <si>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</si>
  <si>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</si>
  <si>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</si>
  <si>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</si>
  <si>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</si>
  <si>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</si>
  <si>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</si>
  <si>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</si>
  <si>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</si>
  <si>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</si>
  <si>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</si>
  <si>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</si>
  <si>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</si>
  <si>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</si>
  <si>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</si>
  <si>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</si>
  <si>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</si>
  <si>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</si>
  <si>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</si>
  <si>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</si>
  <si>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</si>
  <si>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</si>
  <si>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</si>
  <si>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</si>
  <si>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</si>
  <si>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</si>
  <si>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</si>
  <si>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</si>
  <si>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</si>
  <si>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</si>
  <si>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</si>
  <si>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</si>
  <si>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</si>
  <si>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</si>
  <si>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</si>
  <si>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</si>
  <si>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</si>
  <si>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</si>
  <si>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</si>
  <si>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</si>
  <si>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</si>
  <si>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</si>
  <si>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</si>
  <si>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</si>
  <si>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</si>
  <si>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</si>
  <si>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</si>
  <si>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</si>
  <si>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</si>
  <si>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</si>
  <si>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</si>
  <si>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</si>
  <si>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</si>
  <si>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</si>
  <si>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</si>
  <si>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</si>
  <si>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</si>
  <si>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</si>
  <si>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</si>
  <si>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</si>
  <si>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</si>
  <si>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</si>
  <si>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</si>
  <si>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</si>
  <si>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</si>
  <si>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</si>
  <si>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</si>
  <si>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</si>
  <si>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</si>
  <si>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</si>
  <si>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</si>
  <si>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</si>
  <si>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</si>
  <si>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</si>
  <si>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チュートリアルステージ(ゲームを開始した際のステージ)</t>
    <rPh sb="16" eb="18">
      <t>カイシ</t>
    </rPh>
    <rPh sb="20" eb="21">
      <t>サイ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</si>
  <si>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</si>
  <si>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</si>
  <si>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</si>
  <si>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</si>
  <si>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</si>
  <si>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</si>
  <si>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</si>
  <si>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</si>
  <si>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</si>
  <si>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</si>
  <si>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</si>
  <si>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</si>
  <si>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</si>
  <si>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</si>
  <si>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廃墟っぽいステージ(広い)</t>
    <rPh sb="0" eb="2">
      <t>ハイキョ</t>
    </rPh>
    <rPh sb="10" eb="11">
      <t>ヒロ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</si>
  <si>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</si>
  <si>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</si>
  <si>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</si>
  <si>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</si>
  <si>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</si>
  <si>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</si>
  <si>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</si>
  <si>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</si>
  <si>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</si>
  <si>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</si>
  <si>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</si>
  <si>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</si>
  <si>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</si>
  <si>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</si>
  <si>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</si>
  <si>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</si>
  <si>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</si>
  <si>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</si>
  <si>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</si>
  <si>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</si>
  <si>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</si>
  <si>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</si>
  <si>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</si>
  <si>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</si>
  <si>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</si>
  <si>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</si>
  <si>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</si>
  <si>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</si>
  <si>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</si>
  <si>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</si>
  <si>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</si>
  <si>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</si>
  <si>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</si>
  <si>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</si>
  <si>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レベル(最大100)</t>
    <rPh sb="4" eb="6">
      <t>サイダイ</t>
    </rPh>
    <phoneticPr fontId="1"/>
  </si>
  <si>
    <t>移動速度</t>
    <rPh sb="0" eb="4">
      <t>イドウソクド</t>
    </rPh>
    <phoneticPr fontId="1"/>
  </si>
  <si>
    <t>経験値(敵の場合このステータスは倒されたときにプレイヤーに渡す値にする)</t>
    <rPh sb="0" eb="3">
      <t>ケイケンチ</t>
    </rPh>
    <rPh sb="4" eb="5">
      <t>テキ</t>
    </rPh>
    <rPh sb="6" eb="8">
      <t>バアイ</t>
    </rPh>
    <rPh sb="16" eb="17">
      <t>タオ</t>
    </rPh>
    <rPh sb="29" eb="30">
      <t>ワタ</t>
    </rPh>
    <rPh sb="31" eb="32">
      <t>アタイ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</si>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</sst>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D12" sqref="D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SUM(作業工数見積もり!F5:F146)</f>
        <v>65</v>
      </c>
    </row>
    <row r="4" spans="2:5">
      <c r="B4" s="5" t="s">
        <v>6</v>
      </c>
      <c r="C4">
        <f>SUMIF(作業工数見積もり!H5:H67,"完了",作業工数見積もり!F5:F67)</f>
        <v>4.75</v>
      </c>
      <c r="D4" t="s">
        <v>7</v>
      </c>
    </row>
    <row r="5" spans="2:5">
      <c r="B5" s="6" t="s">
        <v>8</v>
      </c>
      <c r="C5" s="2">
        <f ca="1">NETWORKDAYS(C6,C7)</f>
        <v>228</v>
      </c>
      <c r="D5" s="3">
        <f ca="1" xml:space="preserve"> C4 / C5</f>
        <v>2.0833333333333332E-2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45922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-176</v>
      </c>
      <c r="E10" s="3">
        <f ca="1">($C$3 - $C$4) / D10</f>
        <v>-0.34232954545454547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-168</v>
      </c>
      <c r="E11" s="3">
        <f ca="1">($C$3 - $C$4) / D11</f>
        <v>-0.35863095238095238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-166</v>
      </c>
      <c r="E12" s="3">
        <f ca="1">($C$3 - $C$4) / D12</f>
        <v>-0.36295180722891568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7"/>
  <sheetViews>
    <sheetView tabSelected="1" topLeftCell="A57" zoomScale="55" zoomScaleNormal="55" workbookViewId="0">
      <selection activeCell="C76" sqref="C76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59" t="s">
        <v>129</v>
      </c>
      <c r="C3" s="14" t="s">
        <v>131</v>
      </c>
      <c r="D3" s="15" t="s">
        <v>5</v>
      </c>
      <c r="E3" s="15" t="s">
        <v>17</v>
      </c>
      <c r="F3" s="15">
        <v>2</v>
      </c>
      <c r="G3" s="15">
        <v>0</v>
      </c>
      <c r="H3" s="15" t="s">
        <v>36</v>
      </c>
      <c r="I3" s="22"/>
      <c r="J3" s="57"/>
      <c r="K3" s="46"/>
      <c r="L3" s="58"/>
      <c r="M3" s="26"/>
    </row>
    <row r="4" spans="2:13" ht="33.75" thickBot="1">
      <c r="B4" s="59" t="s">
        <v>129</v>
      </c>
      <c r="C4" s="14" t="s">
        <v>130</v>
      </c>
      <c r="D4" s="15" t="s">
        <v>5</v>
      </c>
      <c r="E4" s="15" t="s">
        <v>17</v>
      </c>
      <c r="F4" s="15">
        <v>2</v>
      </c>
      <c r="G4" s="15">
        <v>0</v>
      </c>
      <c r="H4" s="15" t="s">
        <v>36</v>
      </c>
      <c r="I4" s="22"/>
      <c r="J4" s="57"/>
      <c r="K4" s="46"/>
      <c r="L4" s="58"/>
      <c r="M4" s="26"/>
    </row>
    <row r="5" spans="2:13">
      <c r="B5" s="21" t="s">
        <v>48</v>
      </c>
      <c r="C5" s="14" t="s">
        <v>35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23" t="s">
        <v>37</v>
      </c>
      <c r="K5" s="24">
        <f>SUM(K6,K7,K8)</f>
        <v>92</v>
      </c>
      <c r="L5" s="25"/>
      <c r="M5" s="26"/>
    </row>
    <row r="6" spans="2:13">
      <c r="B6" s="21" t="s">
        <v>48</v>
      </c>
      <c r="C6" s="14" t="s">
        <v>38</v>
      </c>
      <c r="D6" s="15" t="s">
        <v>5</v>
      </c>
      <c r="E6" s="15" t="s">
        <v>10</v>
      </c>
      <c r="F6" s="15">
        <v>0.25</v>
      </c>
      <c r="G6" s="15">
        <v>0</v>
      </c>
      <c r="H6" s="15" t="s">
        <v>36</v>
      </c>
      <c r="I6" s="22"/>
      <c r="J6" s="27" t="s">
        <v>28</v>
      </c>
      <c r="K6" s="28">
        <f>COUNTIF(E5:E114,J6)</f>
        <v>59</v>
      </c>
      <c r="L6" s="29"/>
      <c r="M6" s="26"/>
    </row>
    <row r="7" spans="2:13">
      <c r="B7" s="21" t="s">
        <v>48</v>
      </c>
      <c r="C7" s="14" t="s">
        <v>39</v>
      </c>
      <c r="D7" s="15" t="s">
        <v>5</v>
      </c>
      <c r="E7" s="15" t="s">
        <v>10</v>
      </c>
      <c r="F7" s="15">
        <v>0.25</v>
      </c>
      <c r="G7" s="15">
        <v>0</v>
      </c>
      <c r="H7" s="15" t="s">
        <v>36</v>
      </c>
      <c r="I7" s="22"/>
      <c r="J7" s="30" t="s">
        <v>0</v>
      </c>
      <c r="K7" s="28">
        <f>COUNTIF(E5:E114,J7)</f>
        <v>23</v>
      </c>
      <c r="L7" s="29"/>
      <c r="M7" s="26"/>
    </row>
    <row r="8" spans="2:13">
      <c r="B8" s="21" t="s">
        <v>48</v>
      </c>
      <c r="C8" s="14" t="s">
        <v>40</v>
      </c>
      <c r="D8" s="15" t="s">
        <v>5</v>
      </c>
      <c r="E8" s="15" t="s">
        <v>10</v>
      </c>
      <c r="F8" s="15">
        <v>0.5</v>
      </c>
      <c r="G8" s="15">
        <v>0</v>
      </c>
      <c r="H8" s="15" t="s">
        <v>36</v>
      </c>
      <c r="I8" s="22"/>
      <c r="J8" s="31" t="s">
        <v>29</v>
      </c>
      <c r="K8" s="28">
        <f>COUNTIF(E5:E114,J8)</f>
        <v>10</v>
      </c>
      <c r="L8" s="29"/>
      <c r="M8" s="26"/>
    </row>
    <row r="9" spans="2:13">
      <c r="B9" s="21" t="s">
        <v>48</v>
      </c>
      <c r="C9" s="14" t="s">
        <v>41</v>
      </c>
      <c r="D9" s="15" t="s">
        <v>5</v>
      </c>
      <c r="E9" s="15" t="s">
        <v>17</v>
      </c>
      <c r="F9" s="15">
        <v>1</v>
      </c>
      <c r="G9" s="15">
        <v>0</v>
      </c>
      <c r="H9" s="15" t="s">
        <v>36</v>
      </c>
      <c r="I9" s="22"/>
      <c r="J9" s="32" t="s">
        <v>18</v>
      </c>
      <c r="K9" s="28">
        <f>COUNTIF(H5:H114,J9)</f>
        <v>7</v>
      </c>
      <c r="L9" s="33">
        <f>K9/K5</f>
        <v>7.6086956521739135E-2</v>
      </c>
      <c r="M9" s="26"/>
    </row>
    <row r="10" spans="2:13">
      <c r="B10" s="21" t="s">
        <v>48</v>
      </c>
      <c r="C10" s="14" t="s">
        <v>47</v>
      </c>
      <c r="D10" s="15" t="s">
        <v>5</v>
      </c>
      <c r="E10" s="15" t="s">
        <v>10</v>
      </c>
      <c r="F10" s="15">
        <v>2</v>
      </c>
      <c r="G10" s="15">
        <v>0</v>
      </c>
      <c r="H10" s="15" t="s">
        <v>36</v>
      </c>
      <c r="I10" s="22"/>
      <c r="J10" s="34" t="s">
        <v>42</v>
      </c>
      <c r="K10" s="28">
        <f>COUNTIF(H5:H114,J10)</f>
        <v>85</v>
      </c>
      <c r="L10" s="35">
        <f>(K10+K11)/K5</f>
        <v>0.92391304347826086</v>
      </c>
      <c r="M10" s="26"/>
    </row>
    <row r="11" spans="2:13">
      <c r="B11" s="36" t="s">
        <v>44</v>
      </c>
      <c r="C11" s="14" t="s">
        <v>49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140</v>
      </c>
      <c r="I11" s="22"/>
      <c r="J11" s="37" t="s">
        <v>43</v>
      </c>
      <c r="K11" s="19">
        <f>COUNTIF(H5:H114,J11)</f>
        <v>0</v>
      </c>
      <c r="L11" s="29"/>
      <c r="M11" s="26"/>
    </row>
    <row r="12" spans="2:13">
      <c r="B12" s="36" t="s">
        <v>44</v>
      </c>
      <c r="C12" s="14" t="s">
        <v>53</v>
      </c>
      <c r="D12" s="15" t="s">
        <v>5</v>
      </c>
      <c r="E12" s="15" t="s">
        <v>17</v>
      </c>
      <c r="F12" s="15">
        <v>1</v>
      </c>
      <c r="G12" s="15">
        <v>0</v>
      </c>
      <c r="H12" s="15" t="s">
        <v>140</v>
      </c>
      <c r="I12" s="22"/>
      <c r="J12" s="38"/>
      <c r="K12" s="19"/>
      <c r="L12" s="29"/>
      <c r="M12" s="26"/>
    </row>
    <row r="13" spans="2:13">
      <c r="B13" s="36" t="s">
        <v>44</v>
      </c>
      <c r="C13" s="14" t="s">
        <v>50</v>
      </c>
      <c r="D13" s="15" t="s">
        <v>5</v>
      </c>
      <c r="E13" s="15" t="s">
        <v>17</v>
      </c>
      <c r="F13" s="15">
        <v>0.25</v>
      </c>
      <c r="G13" s="15">
        <v>0</v>
      </c>
      <c r="H13" s="15" t="s">
        <v>140</v>
      </c>
      <c r="I13" s="22"/>
      <c r="J13" s="39" t="s">
        <v>45</v>
      </c>
      <c r="K13" s="19">
        <f>SUM(F5:F114)</f>
        <v>65</v>
      </c>
      <c r="L13" s="29"/>
      <c r="M13" s="26"/>
    </row>
    <row r="14" spans="2:13" ht="33.75" thickBot="1">
      <c r="B14" s="36" t="s">
        <v>44</v>
      </c>
      <c r="C14" s="14" t="s">
        <v>51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140</v>
      </c>
      <c r="I14" s="22"/>
      <c r="J14" s="41" t="s">
        <v>46</v>
      </c>
      <c r="K14" s="42">
        <f>8*K13</f>
        <v>520</v>
      </c>
      <c r="L14" s="43"/>
      <c r="M14" s="26"/>
    </row>
    <row r="15" spans="2:13" ht="35.25">
      <c r="B15" s="36" t="s">
        <v>44</v>
      </c>
      <c r="C15" s="14" t="s">
        <v>52</v>
      </c>
      <c r="D15" s="15" t="s">
        <v>5</v>
      </c>
      <c r="E15" s="15" t="s">
        <v>17</v>
      </c>
      <c r="F15" s="15">
        <v>1</v>
      </c>
      <c r="G15" s="15">
        <v>0</v>
      </c>
      <c r="H15" s="15" t="s">
        <v>140</v>
      </c>
      <c r="I15" s="22"/>
      <c r="J15" s="47" t="s">
        <v>25</v>
      </c>
      <c r="K15" s="45"/>
      <c r="L15" s="19"/>
      <c r="M15" s="26"/>
    </row>
    <row r="16" spans="2:13" ht="36" thickBot="1">
      <c r="B16" s="36" t="s">
        <v>44</v>
      </c>
      <c r="C16" s="14" t="s">
        <v>141</v>
      </c>
      <c r="D16" s="15" t="s">
        <v>5</v>
      </c>
      <c r="E16" s="15" t="s">
        <v>17</v>
      </c>
      <c r="F16" s="15">
        <v>1</v>
      </c>
      <c r="G16" s="15">
        <v>0</v>
      </c>
      <c r="H16" s="15" t="s">
        <v>140</v>
      </c>
      <c r="I16" s="22"/>
      <c r="J16" s="48" t="s">
        <v>26</v>
      </c>
      <c r="K16" s="26"/>
    </row>
    <row r="17" spans="2:11" ht="35.25">
      <c r="B17" s="36" t="s">
        <v>44</v>
      </c>
      <c r="C17" s="14" t="s">
        <v>142</v>
      </c>
      <c r="D17" s="15" t="s">
        <v>5</v>
      </c>
      <c r="E17" s="15" t="s">
        <v>17</v>
      </c>
      <c r="F17" s="15">
        <v>1</v>
      </c>
      <c r="G17" s="15">
        <v>0</v>
      </c>
      <c r="H17" s="15" t="s">
        <v>140</v>
      </c>
      <c r="I17" s="22"/>
      <c r="J17" s="49"/>
      <c r="K17" s="26"/>
    </row>
    <row r="18" spans="2:11" ht="35.25">
      <c r="B18" s="51" t="s">
        <v>81</v>
      </c>
      <c r="C18" s="14" t="s">
        <v>78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 ht="35.25">
      <c r="B19" s="51" t="s">
        <v>81</v>
      </c>
      <c r="C19" s="14" t="s">
        <v>79</v>
      </c>
      <c r="D19" s="15" t="s">
        <v>5</v>
      </c>
      <c r="E19" s="15" t="s">
        <v>17</v>
      </c>
      <c r="F19" s="15">
        <v>0.25</v>
      </c>
      <c r="G19" s="15">
        <v>0</v>
      </c>
      <c r="H19" s="15" t="s">
        <v>36</v>
      </c>
      <c r="I19" s="22"/>
      <c r="J19" s="49"/>
      <c r="K19" s="26"/>
    </row>
    <row r="20" spans="2:11" ht="35.25">
      <c r="B20" s="51" t="s">
        <v>81</v>
      </c>
      <c r="C20" s="14" t="s">
        <v>80</v>
      </c>
      <c r="D20" s="15" t="s">
        <v>5</v>
      </c>
      <c r="E20" s="15" t="s">
        <v>17</v>
      </c>
      <c r="F20" s="15">
        <v>0.25</v>
      </c>
      <c r="G20" s="15">
        <v>0</v>
      </c>
      <c r="H20" s="15" t="s">
        <v>36</v>
      </c>
      <c r="I20" s="22"/>
      <c r="J20" s="49"/>
      <c r="K20" s="26"/>
    </row>
    <row r="21" spans="2:11" ht="35.25">
      <c r="B21" s="51" t="s">
        <v>81</v>
      </c>
      <c r="C21" s="14" t="s">
        <v>154</v>
      </c>
      <c r="D21" s="15" t="s">
        <v>5</v>
      </c>
      <c r="E21" s="15" t="s">
        <v>17</v>
      </c>
      <c r="F21" s="15">
        <v>0.25</v>
      </c>
      <c r="G21" s="15">
        <v>0</v>
      </c>
      <c r="H21" s="15" t="s">
        <v>36</v>
      </c>
      <c r="I21" s="22"/>
      <c r="J21" s="49"/>
      <c r="K21" s="26"/>
    </row>
    <row r="22" spans="2:11">
      <c r="B22" s="51" t="s">
        <v>81</v>
      </c>
      <c r="C22" s="14" t="s">
        <v>155</v>
      </c>
      <c r="D22" s="15" t="s">
        <v>5</v>
      </c>
      <c r="E22" s="15" t="s">
        <v>17</v>
      </c>
      <c r="F22" s="15">
        <v>0.25</v>
      </c>
      <c r="G22" s="15">
        <v>0</v>
      </c>
      <c r="H22" s="15" t="s">
        <v>36</v>
      </c>
      <c r="J22" s="46"/>
    </row>
    <row r="23" spans="2:11">
      <c r="B23" s="51" t="s">
        <v>81</v>
      </c>
      <c r="C23" s="14" t="s">
        <v>153</v>
      </c>
      <c r="D23" s="15" t="s">
        <v>5</v>
      </c>
      <c r="E23" s="15" t="s">
        <v>17</v>
      </c>
      <c r="F23" s="15">
        <v>2</v>
      </c>
      <c r="G23" s="15">
        <v>0</v>
      </c>
      <c r="H23" s="15" t="s">
        <v>36</v>
      </c>
      <c r="J23" s="46"/>
    </row>
    <row r="24" spans="2:11">
      <c r="B24" s="50" t="s">
        <v>54</v>
      </c>
      <c r="C24" s="14" t="s">
        <v>55</v>
      </c>
      <c r="D24" s="15" t="s">
        <v>5</v>
      </c>
      <c r="E24" s="15" t="s">
        <v>17</v>
      </c>
      <c r="F24" s="15">
        <v>0.25</v>
      </c>
      <c r="G24" s="15">
        <v>0</v>
      </c>
      <c r="H24" s="15" t="s">
        <v>36</v>
      </c>
    </row>
    <row r="25" spans="2:11">
      <c r="B25" s="50" t="s">
        <v>54</v>
      </c>
      <c r="C25" s="14" t="s">
        <v>72</v>
      </c>
      <c r="D25" s="15" t="s">
        <v>5</v>
      </c>
      <c r="E25" s="15" t="s">
        <v>17</v>
      </c>
      <c r="F25" s="15">
        <v>0.5</v>
      </c>
      <c r="G25" s="15">
        <v>0</v>
      </c>
      <c r="H25" s="15" t="s">
        <v>36</v>
      </c>
    </row>
    <row r="26" spans="2:11">
      <c r="B26" s="50" t="s">
        <v>54</v>
      </c>
      <c r="C26" s="14" t="s">
        <v>73</v>
      </c>
      <c r="D26" s="15" t="s">
        <v>5</v>
      </c>
      <c r="E26" s="15" t="s">
        <v>17</v>
      </c>
      <c r="F26" s="15">
        <v>3</v>
      </c>
      <c r="G26" s="15">
        <v>0</v>
      </c>
      <c r="H26" s="15" t="s">
        <v>36</v>
      </c>
    </row>
    <row r="27" spans="2:11">
      <c r="B27" s="50" t="s">
        <v>54</v>
      </c>
      <c r="C27" s="14" t="s">
        <v>76</v>
      </c>
      <c r="D27" s="15" t="s">
        <v>5</v>
      </c>
      <c r="E27" s="15" t="s">
        <v>17</v>
      </c>
      <c r="F27" s="15">
        <v>0.5</v>
      </c>
      <c r="G27" s="15">
        <v>0</v>
      </c>
      <c r="H27" s="15" t="s">
        <v>36</v>
      </c>
    </row>
    <row r="28" spans="2:11">
      <c r="B28" s="50" t="s">
        <v>54</v>
      </c>
      <c r="C28" s="14" t="s">
        <v>70</v>
      </c>
      <c r="D28" s="15" t="s">
        <v>5</v>
      </c>
      <c r="E28" s="15" t="s">
        <v>17</v>
      </c>
      <c r="F28" s="15">
        <v>0.5</v>
      </c>
      <c r="G28" s="15">
        <v>0</v>
      </c>
      <c r="H28" s="15" t="s">
        <v>36</v>
      </c>
    </row>
    <row r="29" spans="2:11">
      <c r="B29" s="50" t="s">
        <v>54</v>
      </c>
      <c r="C29" s="14" t="s">
        <v>71</v>
      </c>
      <c r="D29" s="15" t="s">
        <v>5</v>
      </c>
      <c r="E29" s="15" t="s">
        <v>17</v>
      </c>
      <c r="F29" s="15">
        <v>0.25</v>
      </c>
      <c r="G29" s="15">
        <v>0</v>
      </c>
      <c r="H29" s="15" t="s">
        <v>36</v>
      </c>
    </row>
    <row r="30" spans="2:11">
      <c r="B30" s="50" t="s">
        <v>54</v>
      </c>
      <c r="C30" s="14" t="s">
        <v>75</v>
      </c>
      <c r="D30" s="15" t="s">
        <v>5</v>
      </c>
      <c r="E30" s="15" t="s">
        <v>17</v>
      </c>
      <c r="F30" s="15">
        <v>0.25</v>
      </c>
      <c r="G30" s="15">
        <v>0</v>
      </c>
      <c r="H30" s="15" t="s">
        <v>36</v>
      </c>
    </row>
    <row r="31" spans="2:11">
      <c r="B31" s="50" t="s">
        <v>54</v>
      </c>
      <c r="C31" s="14" t="s">
        <v>77</v>
      </c>
      <c r="D31" s="15" t="s">
        <v>5</v>
      </c>
      <c r="E31" s="15" t="s">
        <v>17</v>
      </c>
      <c r="F31" s="15">
        <v>0.25</v>
      </c>
      <c r="G31" s="15">
        <v>0</v>
      </c>
      <c r="H31" s="15" t="s">
        <v>36</v>
      </c>
    </row>
    <row r="32" spans="2:11">
      <c r="B32" s="50" t="s">
        <v>54</v>
      </c>
      <c r="C32" s="14" t="s">
        <v>82</v>
      </c>
      <c r="D32" s="15" t="s">
        <v>83</v>
      </c>
      <c r="E32" s="15" t="s">
        <v>17</v>
      </c>
      <c r="F32" s="15">
        <v>0.25</v>
      </c>
      <c r="G32" s="15">
        <v>0</v>
      </c>
      <c r="H32" s="15" t="s">
        <v>36</v>
      </c>
    </row>
    <row r="33" spans="2:8">
      <c r="B33" s="50" t="s">
        <v>54</v>
      </c>
      <c r="C33" s="44" t="s">
        <v>56</v>
      </c>
      <c r="D33" s="15" t="s">
        <v>5</v>
      </c>
      <c r="E33" s="15" t="s">
        <v>17</v>
      </c>
      <c r="F33" s="15">
        <v>2</v>
      </c>
      <c r="G33" s="15">
        <v>0</v>
      </c>
      <c r="H33" s="15" t="s">
        <v>36</v>
      </c>
    </row>
    <row r="34" spans="2:8">
      <c r="B34" s="50" t="s">
        <v>54</v>
      </c>
      <c r="C34" s="44" t="s">
        <v>57</v>
      </c>
      <c r="D34" s="15" t="s">
        <v>5</v>
      </c>
      <c r="E34" s="15" t="s">
        <v>17</v>
      </c>
      <c r="F34" s="15">
        <v>1</v>
      </c>
      <c r="G34" s="15">
        <v>0</v>
      </c>
      <c r="H34" s="15" t="s">
        <v>36</v>
      </c>
    </row>
    <row r="35" spans="2:8">
      <c r="B35" s="50" t="s">
        <v>54</v>
      </c>
      <c r="C35" s="44" t="s">
        <v>74</v>
      </c>
      <c r="D35" s="15" t="s">
        <v>5</v>
      </c>
      <c r="E35" s="15" t="s">
        <v>17</v>
      </c>
      <c r="F35" s="15">
        <v>0.5</v>
      </c>
      <c r="G35" s="15">
        <v>0</v>
      </c>
      <c r="H35" s="15" t="s">
        <v>36</v>
      </c>
    </row>
    <row r="36" spans="2:8">
      <c r="B36" s="50" t="s">
        <v>54</v>
      </c>
      <c r="C36" s="44" t="s">
        <v>58</v>
      </c>
      <c r="D36" s="15" t="s">
        <v>5</v>
      </c>
      <c r="E36" s="15" t="s">
        <v>17</v>
      </c>
      <c r="F36" s="15">
        <v>1</v>
      </c>
      <c r="G36" s="15">
        <v>0</v>
      </c>
      <c r="H36" s="15" t="s">
        <v>36</v>
      </c>
    </row>
    <row r="37" spans="2:8">
      <c r="B37" s="50" t="s">
        <v>54</v>
      </c>
      <c r="C37" s="44" t="s">
        <v>59</v>
      </c>
      <c r="D37" s="15" t="s">
        <v>5</v>
      </c>
      <c r="E37" s="15" t="s">
        <v>17</v>
      </c>
      <c r="F37" s="15">
        <v>1</v>
      </c>
      <c r="G37" s="15">
        <v>0</v>
      </c>
      <c r="H37" s="15" t="s">
        <v>36</v>
      </c>
    </row>
    <row r="38" spans="2:8">
      <c r="B38" s="50" t="s">
        <v>54</v>
      </c>
      <c r="C38" s="44" t="s">
        <v>60</v>
      </c>
      <c r="D38" s="15" t="s">
        <v>5</v>
      </c>
      <c r="E38" s="15" t="s">
        <v>17</v>
      </c>
      <c r="F38" s="15">
        <v>1</v>
      </c>
      <c r="G38" s="15">
        <v>0</v>
      </c>
      <c r="H38" s="15" t="s">
        <v>36</v>
      </c>
    </row>
    <row r="39" spans="2:8">
      <c r="B39" s="50" t="s">
        <v>54</v>
      </c>
      <c r="C39" s="44" t="s">
        <v>61</v>
      </c>
      <c r="D39" s="15" t="s">
        <v>5</v>
      </c>
      <c r="E39" s="15" t="s">
        <v>17</v>
      </c>
      <c r="F39" s="15">
        <v>1</v>
      </c>
      <c r="G39" s="15">
        <v>0</v>
      </c>
      <c r="H39" s="15" t="s">
        <v>36</v>
      </c>
    </row>
    <row r="40" spans="2:8">
      <c r="B40" s="50" t="s">
        <v>54</v>
      </c>
      <c r="C40" s="44" t="s">
        <v>62</v>
      </c>
      <c r="D40" s="15" t="s">
        <v>5</v>
      </c>
      <c r="E40" s="15" t="s">
        <v>17</v>
      </c>
      <c r="F40" s="15">
        <v>1</v>
      </c>
      <c r="G40" s="15">
        <v>0</v>
      </c>
      <c r="H40" s="15" t="s">
        <v>36</v>
      </c>
    </row>
    <row r="41" spans="2:8">
      <c r="B41" s="50" t="s">
        <v>54</v>
      </c>
      <c r="C41" s="44" t="s">
        <v>65</v>
      </c>
      <c r="D41" s="15" t="s">
        <v>5</v>
      </c>
      <c r="E41" s="15" t="s">
        <v>17</v>
      </c>
      <c r="F41" s="15">
        <v>1</v>
      </c>
      <c r="G41" s="15">
        <v>0</v>
      </c>
      <c r="H41" s="15" t="s">
        <v>36</v>
      </c>
    </row>
    <row r="42" spans="2:8">
      <c r="B42" s="50" t="s">
        <v>64</v>
      </c>
      <c r="C42" s="14" t="s">
        <v>63</v>
      </c>
      <c r="D42" s="15" t="s">
        <v>5</v>
      </c>
      <c r="E42" s="15" t="s">
        <v>17</v>
      </c>
      <c r="F42" s="15">
        <v>0.5</v>
      </c>
      <c r="G42" s="15">
        <v>0</v>
      </c>
      <c r="H42" s="15" t="s">
        <v>36</v>
      </c>
    </row>
    <row r="43" spans="2:8">
      <c r="B43" s="50" t="s">
        <v>64</v>
      </c>
      <c r="C43" s="14" t="s">
        <v>66</v>
      </c>
      <c r="D43" s="15" t="s">
        <v>5</v>
      </c>
      <c r="E43" s="15" t="s">
        <v>17</v>
      </c>
      <c r="F43" s="15">
        <v>0.5</v>
      </c>
      <c r="G43" s="15">
        <v>0</v>
      </c>
      <c r="H43" s="15" t="s">
        <v>36</v>
      </c>
    </row>
    <row r="44" spans="2:8">
      <c r="B44" s="50" t="s">
        <v>64</v>
      </c>
      <c r="C44" s="14" t="s">
        <v>67</v>
      </c>
      <c r="D44" s="15" t="s">
        <v>143</v>
      </c>
      <c r="E44" s="15" t="s">
        <v>17</v>
      </c>
      <c r="F44" s="15">
        <v>0.5</v>
      </c>
      <c r="G44" s="15">
        <v>0</v>
      </c>
      <c r="H44" s="15" t="s">
        <v>36</v>
      </c>
    </row>
    <row r="45" spans="2:8">
      <c r="B45" s="50" t="s">
        <v>64</v>
      </c>
      <c r="C45" s="14" t="s">
        <v>68</v>
      </c>
      <c r="D45" s="15" t="s">
        <v>143</v>
      </c>
      <c r="E45" s="15" t="s">
        <v>17</v>
      </c>
      <c r="F45" s="15">
        <v>0.25</v>
      </c>
      <c r="G45" s="15">
        <v>0</v>
      </c>
      <c r="H45" s="15" t="s">
        <v>36</v>
      </c>
    </row>
    <row r="46" spans="2:8">
      <c r="B46" s="50" t="s">
        <v>64</v>
      </c>
      <c r="C46" s="14" t="s">
        <v>69</v>
      </c>
      <c r="D46" s="15" t="s">
        <v>143</v>
      </c>
      <c r="E46" s="15" t="s">
        <v>17</v>
      </c>
      <c r="F46" s="15">
        <v>0.5</v>
      </c>
      <c r="G46" s="15">
        <v>0</v>
      </c>
      <c r="H46" s="15" t="s">
        <v>36</v>
      </c>
    </row>
    <row r="47" spans="2:8">
      <c r="B47" s="50" t="s">
        <v>54</v>
      </c>
      <c r="C47" s="14" t="s">
        <v>126</v>
      </c>
      <c r="D47" s="15" t="s">
        <v>143</v>
      </c>
      <c r="E47" s="15" t="s">
        <v>10</v>
      </c>
      <c r="F47" s="15">
        <v>0.25</v>
      </c>
      <c r="G47" s="15">
        <v>0</v>
      </c>
      <c r="H47" s="15" t="s">
        <v>36</v>
      </c>
    </row>
    <row r="48" spans="2:8">
      <c r="B48" s="52" t="s">
        <v>119</v>
      </c>
      <c r="C48" s="14" t="s">
        <v>99</v>
      </c>
      <c r="D48" s="15" t="s">
        <v>5</v>
      </c>
      <c r="E48" s="15" t="s">
        <v>17</v>
      </c>
      <c r="F48" s="15">
        <v>0.5</v>
      </c>
      <c r="G48" s="15">
        <v>0</v>
      </c>
      <c r="H48" s="15" t="s">
        <v>36</v>
      </c>
    </row>
    <row r="49" spans="2:8">
      <c r="B49" s="52" t="s">
        <v>119</v>
      </c>
      <c r="C49" s="14" t="s">
        <v>100</v>
      </c>
      <c r="D49" s="15" t="s">
        <v>5</v>
      </c>
      <c r="E49" s="15" t="s">
        <v>17</v>
      </c>
      <c r="F49" s="15">
        <v>0.5</v>
      </c>
      <c r="G49" s="15">
        <v>0</v>
      </c>
      <c r="H49" s="15" t="s">
        <v>36</v>
      </c>
    </row>
    <row r="50" spans="2:8">
      <c r="B50" s="52" t="s">
        <v>119</v>
      </c>
      <c r="C50" s="14" t="s">
        <v>88</v>
      </c>
      <c r="D50" s="15" t="s">
        <v>5</v>
      </c>
      <c r="E50" s="15" t="s">
        <v>17</v>
      </c>
      <c r="F50" s="15">
        <v>0.5</v>
      </c>
      <c r="G50" s="15">
        <v>0</v>
      </c>
      <c r="H50" s="15" t="s">
        <v>36</v>
      </c>
    </row>
    <row r="51" spans="2:8">
      <c r="B51" s="52" t="s">
        <v>119</v>
      </c>
      <c r="C51" s="14" t="s">
        <v>120</v>
      </c>
      <c r="D51" s="15" t="s">
        <v>5</v>
      </c>
      <c r="E51" s="15" t="s">
        <v>17</v>
      </c>
      <c r="F51" s="15">
        <v>0.5</v>
      </c>
      <c r="G51" s="15">
        <v>0</v>
      </c>
      <c r="H51" s="15" t="s">
        <v>36</v>
      </c>
    </row>
    <row r="52" spans="2:8">
      <c r="B52" s="52" t="s">
        <v>84</v>
      </c>
      <c r="C52" s="14" t="s">
        <v>89</v>
      </c>
      <c r="D52" s="15" t="s">
        <v>5</v>
      </c>
      <c r="E52" s="15" t="s">
        <v>17</v>
      </c>
      <c r="F52" s="15">
        <v>1</v>
      </c>
      <c r="G52" s="15">
        <v>0</v>
      </c>
      <c r="H52" s="15" t="s">
        <v>36</v>
      </c>
    </row>
    <row r="53" spans="2:8">
      <c r="B53" s="52" t="s">
        <v>85</v>
      </c>
      <c r="C53" s="14" t="s">
        <v>90</v>
      </c>
      <c r="D53" s="15" t="s">
        <v>5</v>
      </c>
      <c r="E53" s="15" t="s">
        <v>17</v>
      </c>
      <c r="F53" s="15">
        <v>1</v>
      </c>
      <c r="G53" s="15">
        <v>0</v>
      </c>
      <c r="H53" s="15" t="s">
        <v>36</v>
      </c>
    </row>
    <row r="54" spans="2:8">
      <c r="B54" s="52" t="s">
        <v>87</v>
      </c>
      <c r="C54" s="14" t="s">
        <v>91</v>
      </c>
      <c r="D54" s="15" t="s">
        <v>143</v>
      </c>
      <c r="E54" s="15" t="s">
        <v>10</v>
      </c>
      <c r="F54" s="15">
        <v>1</v>
      </c>
      <c r="G54" s="15">
        <v>0</v>
      </c>
      <c r="H54" s="15" t="s">
        <v>36</v>
      </c>
    </row>
    <row r="55" spans="2:8">
      <c r="B55" s="52" t="s">
        <v>86</v>
      </c>
      <c r="C55" s="14" t="s">
        <v>92</v>
      </c>
      <c r="D55" s="15" t="s">
        <v>143</v>
      </c>
      <c r="E55" s="15" t="s">
        <v>10</v>
      </c>
      <c r="F55" s="15">
        <v>1</v>
      </c>
      <c r="G55" s="15">
        <v>0</v>
      </c>
      <c r="H55" s="15" t="s">
        <v>36</v>
      </c>
    </row>
    <row r="56" spans="2:8">
      <c r="B56" s="52" t="s">
        <v>93</v>
      </c>
      <c r="C56" s="14" t="s">
        <v>94</v>
      </c>
      <c r="D56" s="15" t="s">
        <v>5</v>
      </c>
      <c r="E56" s="15" t="s">
        <v>17</v>
      </c>
      <c r="F56" s="15">
        <v>1</v>
      </c>
      <c r="G56" s="15">
        <v>0</v>
      </c>
      <c r="H56" s="15" t="s">
        <v>36</v>
      </c>
    </row>
    <row r="57" spans="2:8">
      <c r="B57" s="52" t="s">
        <v>93</v>
      </c>
      <c r="C57" s="14" t="s">
        <v>95</v>
      </c>
      <c r="D57" s="15" t="s">
        <v>5</v>
      </c>
      <c r="E57" s="15" t="s">
        <v>17</v>
      </c>
      <c r="F57" s="15">
        <v>0.5</v>
      </c>
      <c r="G57" s="15">
        <v>0</v>
      </c>
      <c r="H57" s="15" t="s">
        <v>36</v>
      </c>
    </row>
    <row r="58" spans="2:8">
      <c r="B58" s="52" t="s">
        <v>93</v>
      </c>
      <c r="C58" s="14" t="s">
        <v>96</v>
      </c>
      <c r="D58" s="15" t="s">
        <v>5</v>
      </c>
      <c r="E58" s="15" t="s">
        <v>10</v>
      </c>
      <c r="F58" s="15">
        <v>0.25</v>
      </c>
      <c r="G58" s="15">
        <v>0</v>
      </c>
      <c r="H58" s="15" t="s">
        <v>36</v>
      </c>
    </row>
    <row r="59" spans="2:8">
      <c r="B59" s="52" t="s">
        <v>93</v>
      </c>
      <c r="C59" s="14" t="s">
        <v>97</v>
      </c>
      <c r="D59" s="15" t="s">
        <v>5</v>
      </c>
      <c r="E59" s="15" t="s">
        <v>10</v>
      </c>
      <c r="F59" s="15">
        <v>0.5</v>
      </c>
      <c r="G59" s="15">
        <v>0</v>
      </c>
      <c r="H59" s="15" t="s">
        <v>36</v>
      </c>
    </row>
    <row r="60" spans="2:8">
      <c r="B60" s="52" t="s">
        <v>93</v>
      </c>
      <c r="C60" s="14" t="s">
        <v>98</v>
      </c>
      <c r="D60" s="15" t="s">
        <v>5</v>
      </c>
      <c r="E60" s="15" t="s">
        <v>10</v>
      </c>
      <c r="F60" s="15">
        <v>0.5</v>
      </c>
      <c r="G60" s="15">
        <v>0</v>
      </c>
      <c r="H60" s="15" t="s">
        <v>36</v>
      </c>
    </row>
    <row r="61" spans="2:8">
      <c r="B61" s="52" t="s">
        <v>93</v>
      </c>
      <c r="C61" s="14" t="s">
        <v>127</v>
      </c>
      <c r="D61" s="15" t="s">
        <v>5</v>
      </c>
      <c r="E61" s="15" t="s">
        <v>17</v>
      </c>
      <c r="F61" s="15">
        <v>0.25</v>
      </c>
      <c r="G61" s="15">
        <v>0</v>
      </c>
      <c r="H61" s="15" t="s">
        <v>36</v>
      </c>
    </row>
    <row r="62" spans="2:8">
      <c r="B62" s="53" t="s">
        <v>101</v>
      </c>
      <c r="C62" s="14" t="s">
        <v>102</v>
      </c>
      <c r="D62" s="15" t="s">
        <v>5</v>
      </c>
      <c r="E62" s="15" t="s">
        <v>17</v>
      </c>
      <c r="F62" s="15">
        <v>1</v>
      </c>
      <c r="G62" s="15">
        <v>0</v>
      </c>
      <c r="H62" s="15" t="s">
        <v>36</v>
      </c>
    </row>
    <row r="63" spans="2:8">
      <c r="B63" s="53" t="s">
        <v>101</v>
      </c>
      <c r="C63" s="14" t="s">
        <v>103</v>
      </c>
      <c r="D63" s="15" t="s">
        <v>5</v>
      </c>
      <c r="E63" s="15" t="s">
        <v>10</v>
      </c>
      <c r="F63" s="15">
        <v>1</v>
      </c>
      <c r="G63" s="15">
        <v>0</v>
      </c>
      <c r="H63" s="15" t="s">
        <v>36</v>
      </c>
    </row>
    <row r="64" spans="2:8">
      <c r="B64" s="53" t="s">
        <v>101</v>
      </c>
      <c r="C64" s="14" t="s">
        <v>118</v>
      </c>
      <c r="D64" s="15" t="s">
        <v>5</v>
      </c>
      <c r="E64" s="15" t="s">
        <v>10</v>
      </c>
      <c r="F64" s="15">
        <v>1</v>
      </c>
      <c r="G64" s="15">
        <v>0</v>
      </c>
      <c r="H64" s="15" t="s">
        <v>36</v>
      </c>
    </row>
    <row r="65" spans="2:8">
      <c r="B65" s="53" t="s">
        <v>101</v>
      </c>
      <c r="C65" s="14" t="s">
        <v>104</v>
      </c>
      <c r="D65" s="15" t="s">
        <v>5</v>
      </c>
      <c r="E65" s="15" t="s">
        <v>10</v>
      </c>
      <c r="F65" s="15">
        <v>0.5</v>
      </c>
      <c r="G65" s="15">
        <v>0</v>
      </c>
      <c r="H65" s="15" t="s">
        <v>36</v>
      </c>
    </row>
    <row r="66" spans="2:8">
      <c r="B66" s="53" t="s">
        <v>101</v>
      </c>
      <c r="C66" s="14" t="s">
        <v>107</v>
      </c>
      <c r="D66" s="15" t="s">
        <v>109</v>
      </c>
      <c r="E66" s="15" t="s">
        <v>10</v>
      </c>
      <c r="F66" s="15">
        <v>0.5</v>
      </c>
      <c r="G66" s="15">
        <v>0</v>
      </c>
      <c r="H66" s="15" t="s">
        <v>36</v>
      </c>
    </row>
    <row r="67" spans="2:8">
      <c r="B67" s="54" t="s">
        <v>105</v>
      </c>
      <c r="C67" s="14" t="s">
        <v>106</v>
      </c>
      <c r="D67" s="15" t="s">
        <v>5</v>
      </c>
      <c r="E67" s="15" t="s">
        <v>10</v>
      </c>
      <c r="F67" s="15">
        <v>0.25</v>
      </c>
      <c r="G67" s="15">
        <v>0</v>
      </c>
      <c r="H67" s="15" t="s">
        <v>36</v>
      </c>
    </row>
    <row r="68" spans="2:8">
      <c r="B68" s="54" t="s">
        <v>105</v>
      </c>
      <c r="C68" s="14" t="s">
        <v>108</v>
      </c>
      <c r="D68" s="15" t="s">
        <v>5</v>
      </c>
      <c r="E68" s="15" t="s">
        <v>10</v>
      </c>
      <c r="F68" s="15">
        <v>1</v>
      </c>
      <c r="G68" s="15">
        <v>0</v>
      </c>
      <c r="H68" s="15" t="s">
        <v>36</v>
      </c>
    </row>
    <row r="69" spans="2:8">
      <c r="B69" s="54" t="s">
        <v>105</v>
      </c>
      <c r="C69" s="14" t="s">
        <v>147</v>
      </c>
      <c r="D69" s="15" t="s">
        <v>5</v>
      </c>
      <c r="E69" s="15" t="s">
        <v>17</v>
      </c>
      <c r="F69" s="15">
        <v>1</v>
      </c>
      <c r="G69" s="15">
        <v>0</v>
      </c>
      <c r="H69" s="15" t="s">
        <v>36</v>
      </c>
    </row>
    <row r="70" spans="2:8">
      <c r="B70" s="54" t="s">
        <v>105</v>
      </c>
      <c r="C70" s="14" t="s">
        <v>148</v>
      </c>
      <c r="D70" s="15" t="s">
        <v>5</v>
      </c>
      <c r="E70" s="15" t="s">
        <v>10</v>
      </c>
      <c r="F70" s="15">
        <v>1</v>
      </c>
      <c r="G70" s="15">
        <v>0</v>
      </c>
      <c r="H70" s="15" t="s">
        <v>36</v>
      </c>
    </row>
    <row r="71" spans="2:8">
      <c r="B71" s="63" t="s">
        <v>157</v>
      </c>
      <c r="C71" s="14" t="s">
        <v>158</v>
      </c>
      <c r="D71" s="15" t="s">
        <v>5</v>
      </c>
      <c r="E71" s="15" t="s">
        <v>17</v>
      </c>
      <c r="F71" s="15">
        <v>1</v>
      </c>
      <c r="G71" s="15">
        <v>0</v>
      </c>
      <c r="H71" s="15" t="s">
        <v>36</v>
      </c>
    </row>
    <row r="72" spans="2:8">
      <c r="B72" s="63" t="s">
        <v>157</v>
      </c>
      <c r="C72" s="14" t="s">
        <v>159</v>
      </c>
      <c r="D72" s="15" t="s">
        <v>5</v>
      </c>
      <c r="E72" s="15" t="s">
        <v>17</v>
      </c>
      <c r="F72" s="15">
        <v>1</v>
      </c>
      <c r="G72" s="15">
        <v>0</v>
      </c>
      <c r="H72" s="15" t="s">
        <v>36</v>
      </c>
    </row>
    <row r="73" spans="2:8">
      <c r="B73" s="63" t="s">
        <v>157</v>
      </c>
      <c r="C73" s="14" t="s">
        <v>160</v>
      </c>
      <c r="D73" s="15" t="s">
        <v>5</v>
      </c>
      <c r="E73" s="15" t="s">
        <v>17</v>
      </c>
      <c r="F73" s="15">
        <v>1</v>
      </c>
      <c r="G73" s="15">
        <v>0</v>
      </c>
      <c r="H73" s="15" t="s">
        <v>36</v>
      </c>
    </row>
    <row r="74" spans="2:8">
      <c r="B74" s="44" t="s">
        <v>122</v>
      </c>
      <c r="C74" s="14" t="s">
        <v>121</v>
      </c>
      <c r="D74" s="15" t="s">
        <v>5</v>
      </c>
      <c r="E74" s="15" t="s">
        <v>17</v>
      </c>
      <c r="F74" s="15">
        <v>0.5</v>
      </c>
      <c r="G74" s="15">
        <v>0</v>
      </c>
      <c r="H74" s="15" t="s">
        <v>36</v>
      </c>
    </row>
    <row r="75" spans="2:8">
      <c r="B75" s="44" t="s">
        <v>122</v>
      </c>
      <c r="C75" s="14" t="s">
        <v>123</v>
      </c>
      <c r="D75" s="15" t="s">
        <v>5</v>
      </c>
      <c r="E75" s="15" t="s">
        <v>17</v>
      </c>
      <c r="F75" s="15">
        <v>0.25</v>
      </c>
      <c r="G75" s="15">
        <v>0</v>
      </c>
      <c r="H75" s="15" t="s">
        <v>36</v>
      </c>
    </row>
    <row r="76" spans="2:8">
      <c r="B76" s="44" t="s">
        <v>122</v>
      </c>
      <c r="C76" s="14" t="s">
        <v>124</v>
      </c>
      <c r="D76" s="15" t="s">
        <v>5</v>
      </c>
      <c r="E76" s="15" t="s">
        <v>17</v>
      </c>
      <c r="F76" s="15">
        <v>0.25</v>
      </c>
      <c r="G76" s="15">
        <v>0</v>
      </c>
      <c r="H76" s="15" t="s">
        <v>36</v>
      </c>
    </row>
    <row r="77" spans="2:8">
      <c r="B77" s="44" t="s">
        <v>122</v>
      </c>
      <c r="C77" s="14" t="s">
        <v>125</v>
      </c>
      <c r="D77" s="15" t="s">
        <v>5</v>
      </c>
      <c r="E77" s="15" t="s">
        <v>17</v>
      </c>
      <c r="F77" s="15">
        <v>0.25</v>
      </c>
      <c r="G77" s="15">
        <v>0</v>
      </c>
      <c r="H77" s="15" t="s">
        <v>36</v>
      </c>
    </row>
    <row r="78" spans="2:8">
      <c r="B78" s="55" t="s">
        <v>110</v>
      </c>
      <c r="C78" s="14" t="s">
        <v>111</v>
      </c>
      <c r="D78" s="15" t="s">
        <v>5</v>
      </c>
      <c r="E78" s="15" t="s">
        <v>17</v>
      </c>
      <c r="F78" s="15">
        <v>0.5</v>
      </c>
      <c r="G78" s="15">
        <v>0</v>
      </c>
      <c r="H78" s="15" t="s">
        <v>36</v>
      </c>
    </row>
    <row r="79" spans="2:8">
      <c r="B79" s="55" t="s">
        <v>110</v>
      </c>
      <c r="C79" s="14" t="s">
        <v>112</v>
      </c>
      <c r="D79" s="15" t="s">
        <v>5</v>
      </c>
      <c r="E79" s="15" t="s">
        <v>144</v>
      </c>
      <c r="F79" s="15">
        <v>0.25</v>
      </c>
      <c r="G79" s="15">
        <v>0</v>
      </c>
      <c r="H79" s="15" t="s">
        <v>36</v>
      </c>
    </row>
    <row r="80" spans="2:8">
      <c r="B80" s="56" t="s">
        <v>128</v>
      </c>
      <c r="C80" s="14" t="s">
        <v>113</v>
      </c>
      <c r="D80" s="15" t="s">
        <v>5</v>
      </c>
      <c r="E80" s="15" t="s">
        <v>144</v>
      </c>
      <c r="F80" s="15">
        <v>1</v>
      </c>
      <c r="G80" s="15">
        <v>0</v>
      </c>
      <c r="H80" s="15" t="s">
        <v>36</v>
      </c>
    </row>
    <row r="81" spans="2:8">
      <c r="B81" s="56" t="s">
        <v>128</v>
      </c>
      <c r="C81" s="14" t="s">
        <v>115</v>
      </c>
      <c r="D81" s="15" t="s">
        <v>5</v>
      </c>
      <c r="E81" s="15" t="s">
        <v>144</v>
      </c>
      <c r="F81" s="15">
        <v>1</v>
      </c>
      <c r="G81" s="15">
        <v>0</v>
      </c>
      <c r="H81" s="15" t="s">
        <v>36</v>
      </c>
    </row>
    <row r="82" spans="2:8">
      <c r="B82" s="56" t="s">
        <v>128</v>
      </c>
      <c r="C82" s="14" t="s">
        <v>114</v>
      </c>
      <c r="D82" s="15" t="s">
        <v>5</v>
      </c>
      <c r="E82" s="15" t="s">
        <v>144</v>
      </c>
      <c r="F82" s="15">
        <v>1</v>
      </c>
      <c r="G82" s="15">
        <v>0</v>
      </c>
      <c r="H82" s="15" t="s">
        <v>36</v>
      </c>
    </row>
    <row r="83" spans="2:8">
      <c r="B83" s="56" t="s">
        <v>128</v>
      </c>
      <c r="C83" s="14" t="s">
        <v>149</v>
      </c>
      <c r="D83" s="15" t="s">
        <v>5</v>
      </c>
      <c r="E83" s="15" t="s">
        <v>144</v>
      </c>
      <c r="F83" s="15">
        <v>1</v>
      </c>
      <c r="G83" s="15">
        <v>0</v>
      </c>
      <c r="H83" s="15" t="s">
        <v>36</v>
      </c>
    </row>
    <row r="84" spans="2:8">
      <c r="B84" s="56" t="s">
        <v>128</v>
      </c>
      <c r="C84" s="14" t="s">
        <v>117</v>
      </c>
      <c r="D84" s="15" t="s">
        <v>5</v>
      </c>
      <c r="E84" s="15" t="s">
        <v>10</v>
      </c>
      <c r="F84" s="15">
        <v>1</v>
      </c>
      <c r="G84" s="15">
        <v>0</v>
      </c>
      <c r="H84" s="15" t="s">
        <v>36</v>
      </c>
    </row>
    <row r="85" spans="2:8">
      <c r="B85" s="56" t="s">
        <v>128</v>
      </c>
      <c r="C85" s="14" t="s">
        <v>116</v>
      </c>
      <c r="D85" s="15" t="s">
        <v>5</v>
      </c>
      <c r="E85" s="15" t="s">
        <v>144</v>
      </c>
      <c r="F85" s="15">
        <v>1</v>
      </c>
      <c r="G85" s="15">
        <v>0</v>
      </c>
      <c r="H85" s="15" t="s">
        <v>36</v>
      </c>
    </row>
    <row r="86" spans="2:8">
      <c r="B86" s="56" t="s">
        <v>128</v>
      </c>
      <c r="C86" s="14" t="s">
        <v>156</v>
      </c>
      <c r="D86" s="15" t="s">
        <v>5</v>
      </c>
      <c r="E86" s="15" t="s">
        <v>144</v>
      </c>
      <c r="F86" s="15">
        <v>1</v>
      </c>
      <c r="G86" s="15">
        <v>0</v>
      </c>
      <c r="H86" s="15" t="s">
        <v>36</v>
      </c>
    </row>
    <row r="87" spans="2:8">
      <c r="B87" s="60" t="s">
        <v>132</v>
      </c>
      <c r="C87" s="14" t="s">
        <v>133</v>
      </c>
      <c r="D87" s="15" t="s">
        <v>5</v>
      </c>
      <c r="E87" s="15" t="s">
        <v>144</v>
      </c>
      <c r="F87" s="15">
        <v>1</v>
      </c>
      <c r="G87" s="15">
        <v>0</v>
      </c>
      <c r="H87" s="15" t="s">
        <v>36</v>
      </c>
    </row>
    <row r="88" spans="2:8">
      <c r="B88" s="60" t="s">
        <v>132</v>
      </c>
      <c r="C88" s="14" t="s">
        <v>134</v>
      </c>
      <c r="D88" s="15" t="s">
        <v>5</v>
      </c>
      <c r="E88" s="15" t="s">
        <v>144</v>
      </c>
      <c r="F88" s="15">
        <v>1</v>
      </c>
      <c r="G88" s="15">
        <v>0</v>
      </c>
      <c r="H88" s="15" t="s">
        <v>36</v>
      </c>
    </row>
    <row r="89" spans="2:8">
      <c r="B89" s="60" t="s">
        <v>132</v>
      </c>
      <c r="C89" s="14" t="s">
        <v>135</v>
      </c>
      <c r="D89" s="15" t="s">
        <v>5</v>
      </c>
      <c r="E89" s="15" t="s">
        <v>144</v>
      </c>
      <c r="F89" s="15">
        <v>1</v>
      </c>
      <c r="G89" s="15">
        <v>0</v>
      </c>
      <c r="H89" s="15" t="s">
        <v>36</v>
      </c>
    </row>
    <row r="90" spans="2:8">
      <c r="B90" s="61" t="s">
        <v>136</v>
      </c>
      <c r="C90" s="14" t="s">
        <v>137</v>
      </c>
      <c r="D90" s="15" t="s">
        <v>5</v>
      </c>
      <c r="E90" s="15" t="s">
        <v>17</v>
      </c>
      <c r="F90" s="15">
        <v>1</v>
      </c>
      <c r="G90" s="15">
        <v>0</v>
      </c>
      <c r="H90" s="15" t="s">
        <v>36</v>
      </c>
    </row>
    <row r="91" spans="2:8">
      <c r="B91" s="61" t="s">
        <v>136</v>
      </c>
      <c r="C91" s="14" t="s">
        <v>138</v>
      </c>
      <c r="D91" s="15" t="s">
        <v>5</v>
      </c>
      <c r="E91" s="15" t="s">
        <v>17</v>
      </c>
      <c r="F91" s="15">
        <v>0.5</v>
      </c>
      <c r="G91" s="15">
        <v>0</v>
      </c>
      <c r="H91" s="15" t="s">
        <v>36</v>
      </c>
    </row>
    <row r="92" spans="2:8">
      <c r="B92" s="61" t="s">
        <v>136</v>
      </c>
      <c r="C92" s="14" t="s">
        <v>139</v>
      </c>
      <c r="D92" s="15" t="s">
        <v>5</v>
      </c>
      <c r="E92" s="15" t="s">
        <v>17</v>
      </c>
      <c r="F92" s="15">
        <v>0.5</v>
      </c>
      <c r="G92" s="15">
        <v>0</v>
      </c>
      <c r="H92" s="15" t="s">
        <v>36</v>
      </c>
    </row>
    <row r="93" spans="2:8">
      <c r="B93" s="61" t="s">
        <v>136</v>
      </c>
      <c r="C93" s="14" t="s">
        <v>145</v>
      </c>
      <c r="D93" s="15" t="s">
        <v>5</v>
      </c>
      <c r="E93" s="15" t="s">
        <v>10</v>
      </c>
      <c r="F93" s="15">
        <v>0.25</v>
      </c>
      <c r="G93" s="15">
        <v>0</v>
      </c>
      <c r="H93" s="15" t="s">
        <v>36</v>
      </c>
    </row>
    <row r="94" spans="2:8">
      <c r="B94" s="62" t="s">
        <v>146</v>
      </c>
      <c r="C94" s="14" t="s">
        <v>150</v>
      </c>
      <c r="D94" s="15" t="s">
        <v>5</v>
      </c>
      <c r="E94" s="15" t="s">
        <v>10</v>
      </c>
      <c r="F94" s="15">
        <v>0.5</v>
      </c>
      <c r="G94" s="15">
        <v>0</v>
      </c>
      <c r="H94" s="15" t="s">
        <v>36</v>
      </c>
    </row>
    <row r="95" spans="2:8">
      <c r="B95" s="62" t="s">
        <v>146</v>
      </c>
      <c r="C95" s="14" t="s">
        <v>151</v>
      </c>
      <c r="D95" s="15" t="s">
        <v>5</v>
      </c>
      <c r="E95" s="15" t="s">
        <v>10</v>
      </c>
      <c r="F95" s="15">
        <v>0.5</v>
      </c>
      <c r="G95" s="15">
        <v>0</v>
      </c>
      <c r="H95" s="15" t="s">
        <v>36</v>
      </c>
    </row>
    <row r="96" spans="2:8">
      <c r="B96" s="62" t="s">
        <v>146</v>
      </c>
      <c r="C96" s="14" t="s">
        <v>152</v>
      </c>
      <c r="D96" s="15" t="s">
        <v>5</v>
      </c>
      <c r="E96" s="15" t="s">
        <v>10</v>
      </c>
      <c r="F96" s="15">
        <v>0.5</v>
      </c>
      <c r="G96" s="15">
        <v>0</v>
      </c>
      <c r="H96" s="15" t="s">
        <v>36</v>
      </c>
    </row>
    <row r="108" spans="3:3">
      <c r="C108" s="18"/>
    </row>
    <row r="117" spans="8:8">
      <c r="H117" s="40"/>
    </row>
  </sheetData>
  <autoFilter ref="C2:H116" xr:uid="{00000000-0001-0000-0000-000000000000}"/>
  <phoneticPr fontId="1"/>
  <dataValidations count="3">
    <dataValidation type="list" allowBlank="1" showInputMessage="1" showErrorMessage="1" sqref="D3:D116" xr:uid="{AF10AFEC-2E3A-4CB7-ABD8-6255C47E78C2}">
      <formula1>"S,A,B,C"</formula1>
    </dataValidation>
    <dataValidation type="list" allowBlank="1" showInputMessage="1" showErrorMessage="1" sqref="E3:E116" xr:uid="{8982FD40-CA4D-4B92-93FE-B37B6B67ACD6}">
      <formula1>"プロト,アルファ,ベータ,マスタ"</formula1>
    </dataValidation>
    <dataValidation type="list" allowBlank="1" showInputMessage="1" showErrorMessage="1" sqref="H3:H116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2025-09-21T16:36:43Z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