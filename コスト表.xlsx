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87DEB79B-E01F-4015-95C7-A2B5CC1FB8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<sst xmlns="http://schemas.openxmlformats.org/spreadsheetml/2006/main" count="507" uniqueCount="160">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</sst>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abSelected="1" topLeftCell="A4" workbookViewId="0">
      <selection activeCell="D10" sqref="D1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19.25</v>
      </c>
      <c r="D4" t="s">
        <v>6</v>
      </c>
    </row>
    <row r="5" spans="2:5">
      <c r="B5" s="6" t="s">
        <v>7</v>
      </c>
      <c r="C5" s="2">
        <f ca="1">NETWORKDAYS(C6,C7)</f>
        <v>248</v>
      </c>
      <c r="D5" s="3">
        <f ca="1" xml:space="preserve"> C4 / C5</f>
        <v>7.7620967741935484E-2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45950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67</v>
      </c>
      <c r="E10" s="3">
        <f ca="1">($C$3 - $C$4) / D10</f>
        <v>0.85074626865671643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75</v>
      </c>
      <c r="E11" s="3">
        <f ca="1">($C$3 - $C$4) / D11</f>
        <v>0.76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75</v>
      </c>
      <c r="E12" s="3">
        <f ca="1">($C$3 - $C$4) / D12</f>
        <v>0.76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6"/>
  <sheetViews>
    <sheetView zoomScale="55" zoomScaleNormal="55" workbookViewId="0">
      <selection activeCell="C49" sqref="C49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124</v>
      </c>
      <c r="C3" s="14" t="s">
        <v>126</v>
      </c>
      <c r="D3" s="15" t="s">
        <v>4</v>
      </c>
      <c r="E3" s="15" t="s">
        <v>16</v>
      </c>
      <c r="F3" s="15">
        <v>2</v>
      </c>
      <c r="G3" s="15" t="s">
        <v>157</v>
      </c>
    </row>
    <row r="4" spans="2:13">
      <c r="B4" s="50" t="s">
        <v>124</v>
      </c>
      <c r="C4" s="14" t="s">
        <v>125</v>
      </c>
      <c r="D4" s="15" t="s">
        <v>4</v>
      </c>
      <c r="E4" s="15" t="s">
        <v>16</v>
      </c>
      <c r="F4" s="15">
        <v>2</v>
      </c>
      <c r="G4" s="15" t="s">
        <v>157</v>
      </c>
      <c r="I4" s="20"/>
      <c r="J4" s="20"/>
      <c r="K4" s="20"/>
      <c r="L4" s="20"/>
    </row>
    <row r="5" spans="2:13" hidden="1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 hidden="1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 hidden="1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 hidden="1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157</v>
      </c>
      <c r="H9" s="22"/>
      <c r="I9" s="32" t="s">
        <v>17</v>
      </c>
      <c r="J9" s="28">
        <f>COUNTIF(G5:G113,I9)</f>
        <v>32</v>
      </c>
      <c r="K9" s="33">
        <f>J9/J5</f>
        <v>0.35164835164835168</v>
      </c>
      <c r="L9" s="63"/>
      <c r="M9" s="26"/>
    </row>
    <row r="10" spans="2:13" hidden="1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57</v>
      </c>
      <c r="K10" s="35">
        <f>(J10+J11)/J5</f>
        <v>0.64835164835164838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135</v>
      </c>
      <c r="H11" s="22"/>
      <c r="I11" s="37" t="s">
        <v>42</v>
      </c>
      <c r="J11" s="19">
        <f>COUNTIF(G5:G113,I11)</f>
        <v>2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135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135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135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135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136</v>
      </c>
      <c r="D16" s="15" t="s">
        <v>4</v>
      </c>
      <c r="E16" s="15" t="s">
        <v>16</v>
      </c>
      <c r="F16" s="15">
        <v>1</v>
      </c>
      <c r="G16" s="15" t="s">
        <v>135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137</v>
      </c>
      <c r="D17" s="15" t="s">
        <v>4</v>
      </c>
      <c r="E17" s="15" t="s">
        <v>16</v>
      </c>
      <c r="F17" s="15">
        <v>1</v>
      </c>
      <c r="G17" s="15" t="s">
        <v>135</v>
      </c>
      <c r="I17" s="56"/>
      <c r="J17" s="42"/>
      <c r="K17" s="42"/>
      <c r="L17" s="42"/>
    </row>
    <row r="18" spans="2:12" ht="35.25" hidden="1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135</v>
      </c>
      <c r="I18" s="55"/>
    </row>
    <row r="19" spans="2:12" ht="35.25" hidden="1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135</v>
      </c>
      <c r="I19" s="55"/>
    </row>
    <row r="20" spans="2:12" ht="35.25" hidden="1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135</v>
      </c>
      <c r="I20" s="55"/>
    </row>
    <row r="21" spans="2:12" ht="35.25" hidden="1">
      <c r="B21" s="44" t="s">
        <v>78</v>
      </c>
      <c r="C21" s="14" t="s">
        <v>148</v>
      </c>
      <c r="D21" s="15" t="s">
        <v>4</v>
      </c>
      <c r="E21" s="15" t="s">
        <v>16</v>
      </c>
      <c r="F21" s="15">
        <v>0.25</v>
      </c>
      <c r="G21" s="15" t="s">
        <v>135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135</v>
      </c>
    </row>
    <row r="23" spans="2:12" hidden="1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135</v>
      </c>
    </row>
    <row r="24" spans="2:12" hidden="1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135</v>
      </c>
    </row>
    <row r="25" spans="2:12" hidden="1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135</v>
      </c>
    </row>
    <row r="26" spans="2:12" hidden="1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135</v>
      </c>
    </row>
    <row r="27" spans="2:12" hidden="1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135</v>
      </c>
    </row>
    <row r="28" spans="2:12" hidden="1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135</v>
      </c>
    </row>
    <row r="29" spans="2:12" hidden="1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135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135</v>
      </c>
    </row>
    <row r="33" spans="2:7" hidden="1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135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135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135</v>
      </c>
    </row>
    <row r="36" spans="2:7">
      <c r="B36" s="43" t="s">
        <v>53</v>
      </c>
      <c r="C36" s="41" t="s">
        <v>158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159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135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135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138</v>
      </c>
      <c r="E44" s="15" t="s">
        <v>16</v>
      </c>
      <c r="F44" s="15">
        <v>0.5</v>
      </c>
      <c r="G44" s="15" t="s">
        <v>35</v>
      </c>
    </row>
    <row r="45" spans="2:7" hidden="1">
      <c r="B45" s="43" t="s">
        <v>53</v>
      </c>
      <c r="C45" s="14" t="s">
        <v>121</v>
      </c>
      <c r="D45" s="15" t="s">
        <v>138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114</v>
      </c>
      <c r="C49" s="14" t="s">
        <v>115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81</v>
      </c>
      <c r="C50" s="14" t="s">
        <v>86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 hidden="1">
      <c r="B52" s="45" t="s">
        <v>84</v>
      </c>
      <c r="C52" s="14" t="s">
        <v>88</v>
      </c>
      <c r="D52" s="15" t="s">
        <v>138</v>
      </c>
      <c r="E52" s="15" t="s">
        <v>9</v>
      </c>
      <c r="F52" s="15">
        <v>1</v>
      </c>
      <c r="G52" s="15" t="s">
        <v>35</v>
      </c>
    </row>
    <row r="53" spans="2:7" hidden="1">
      <c r="B53" s="45" t="s">
        <v>83</v>
      </c>
      <c r="C53" s="14" t="s">
        <v>89</v>
      </c>
      <c r="D53" s="15" t="s">
        <v>138</v>
      </c>
      <c r="E53" s="15" t="s">
        <v>9</v>
      </c>
      <c r="F53" s="15">
        <v>1</v>
      </c>
      <c r="G53" s="15" t="s">
        <v>35</v>
      </c>
    </row>
    <row r="54" spans="2:7">
      <c r="B54" s="45" t="s">
        <v>90</v>
      </c>
      <c r="C54" s="14" t="s">
        <v>91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90</v>
      </c>
      <c r="C55" s="14" t="s">
        <v>92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 hidden="1">
      <c r="B56" s="45" t="s">
        <v>90</v>
      </c>
      <c r="C56" s="14" t="s">
        <v>93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 hidden="1">
      <c r="B57" s="45" t="s">
        <v>90</v>
      </c>
      <c r="C57" s="14" t="s">
        <v>94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 hidden="1">
      <c r="B58" s="45" t="s">
        <v>90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90</v>
      </c>
      <c r="C59" s="14" t="s">
        <v>122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98</v>
      </c>
      <c r="C60" s="14" t="s">
        <v>99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 hidden="1">
      <c r="B61" s="46" t="s">
        <v>98</v>
      </c>
      <c r="C61" s="14" t="s">
        <v>156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 hidden="1">
      <c r="B62" s="46" t="s">
        <v>46</v>
      </c>
      <c r="C62" s="14" t="s">
        <v>155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 hidden="1">
      <c r="B63" s="46" t="s">
        <v>98</v>
      </c>
      <c r="C63" s="14" t="s">
        <v>154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 hidden="1">
      <c r="B64" s="46" t="s">
        <v>98</v>
      </c>
      <c r="C64" s="14" t="s">
        <v>100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 hidden="1">
      <c r="B65" s="46" t="s">
        <v>98</v>
      </c>
      <c r="C65" s="14" t="s">
        <v>103</v>
      </c>
      <c r="D65" s="15" t="s">
        <v>105</v>
      </c>
      <c r="E65" s="15" t="s">
        <v>9</v>
      </c>
      <c r="F65" s="15">
        <v>1</v>
      </c>
      <c r="G65" s="15" t="s">
        <v>35</v>
      </c>
    </row>
    <row r="66" spans="2:7" hidden="1">
      <c r="B66" s="47" t="s">
        <v>101</v>
      </c>
      <c r="C66" s="14" t="s">
        <v>102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 hidden="1">
      <c r="B67" s="47" t="s">
        <v>101</v>
      </c>
      <c r="C67" s="14" t="s">
        <v>104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 hidden="1">
      <c r="B68" s="47" t="s">
        <v>101</v>
      </c>
      <c r="C68" s="14" t="s">
        <v>142</v>
      </c>
      <c r="D68" s="15" t="s">
        <v>4</v>
      </c>
      <c r="E68" s="15" t="s">
        <v>16</v>
      </c>
      <c r="F68" s="15">
        <v>1</v>
      </c>
      <c r="G68" s="15" t="s">
        <v>135</v>
      </c>
    </row>
    <row r="69" spans="2:7" hidden="1">
      <c r="B69" s="47" t="s">
        <v>101</v>
      </c>
      <c r="C69" s="14" t="s">
        <v>143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 hidden="1">
      <c r="B70" s="54" t="s">
        <v>150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135</v>
      </c>
    </row>
    <row r="71" spans="2:7" hidden="1">
      <c r="B71" s="54" t="s">
        <v>150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135</v>
      </c>
    </row>
    <row r="72" spans="2:7">
      <c r="B72" s="54" t="s">
        <v>150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1" t="s">
        <v>117</v>
      </c>
      <c r="C73" s="14" t="s">
        <v>116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117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117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117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106</v>
      </c>
      <c r="C77" s="14" t="s">
        <v>107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 hidden="1">
      <c r="B78" s="48" t="s">
        <v>106</v>
      </c>
      <c r="C78" s="14" t="s">
        <v>108</v>
      </c>
      <c r="D78" s="15" t="s">
        <v>4</v>
      </c>
      <c r="E78" s="15" t="s">
        <v>139</v>
      </c>
      <c r="F78" s="15">
        <v>0.25</v>
      </c>
      <c r="G78" s="15" t="s">
        <v>35</v>
      </c>
    </row>
    <row r="79" spans="2:7" hidden="1">
      <c r="B79" s="49" t="s">
        <v>123</v>
      </c>
      <c r="C79" s="14" t="s">
        <v>109</v>
      </c>
      <c r="D79" s="15" t="s">
        <v>4</v>
      </c>
      <c r="E79" s="15" t="s">
        <v>139</v>
      </c>
      <c r="F79" s="15">
        <v>1</v>
      </c>
      <c r="G79" s="15" t="s">
        <v>35</v>
      </c>
    </row>
    <row r="80" spans="2:7" hidden="1">
      <c r="B80" s="49" t="s">
        <v>123</v>
      </c>
      <c r="C80" s="14" t="s">
        <v>111</v>
      </c>
      <c r="D80" s="15" t="s">
        <v>4</v>
      </c>
      <c r="E80" s="15" t="s">
        <v>139</v>
      </c>
      <c r="F80" s="15">
        <v>1</v>
      </c>
      <c r="G80" s="15" t="s">
        <v>35</v>
      </c>
    </row>
    <row r="81" spans="2:7" hidden="1">
      <c r="B81" s="49" t="s">
        <v>123</v>
      </c>
      <c r="C81" s="14" t="s">
        <v>110</v>
      </c>
      <c r="D81" s="15" t="s">
        <v>4</v>
      </c>
      <c r="E81" s="15" t="s">
        <v>139</v>
      </c>
      <c r="F81" s="15">
        <v>1</v>
      </c>
      <c r="G81" s="15" t="s">
        <v>35</v>
      </c>
    </row>
    <row r="82" spans="2:7" hidden="1">
      <c r="B82" s="49" t="s">
        <v>123</v>
      </c>
      <c r="C82" s="14" t="s">
        <v>144</v>
      </c>
      <c r="D82" s="15" t="s">
        <v>4</v>
      </c>
      <c r="E82" s="15" t="s">
        <v>139</v>
      </c>
      <c r="F82" s="15">
        <v>1</v>
      </c>
      <c r="G82" s="15" t="s">
        <v>35</v>
      </c>
    </row>
    <row r="83" spans="2:7" hidden="1">
      <c r="B83" s="49" t="s">
        <v>123</v>
      </c>
      <c r="C83" s="14" t="s">
        <v>113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 hidden="1">
      <c r="B84" s="49" t="s">
        <v>123</v>
      </c>
      <c r="C84" s="14" t="s">
        <v>112</v>
      </c>
      <c r="D84" s="15" t="s">
        <v>4</v>
      </c>
      <c r="E84" s="15" t="s">
        <v>139</v>
      </c>
      <c r="F84" s="15">
        <v>1</v>
      </c>
      <c r="G84" s="15" t="s">
        <v>35</v>
      </c>
    </row>
    <row r="85" spans="2:7" hidden="1">
      <c r="B85" s="49" t="s">
        <v>123</v>
      </c>
      <c r="C85" s="14" t="s">
        <v>149</v>
      </c>
      <c r="D85" s="15" t="s">
        <v>4</v>
      </c>
      <c r="E85" s="15" t="s">
        <v>139</v>
      </c>
      <c r="F85" s="15">
        <v>1</v>
      </c>
      <c r="G85" s="15" t="s">
        <v>35</v>
      </c>
    </row>
    <row r="86" spans="2:7" hidden="1">
      <c r="B86" s="51" t="s">
        <v>127</v>
      </c>
      <c r="C86" s="14" t="s">
        <v>128</v>
      </c>
      <c r="D86" s="15" t="s">
        <v>4</v>
      </c>
      <c r="E86" s="15" t="s">
        <v>139</v>
      </c>
      <c r="F86" s="15">
        <v>1</v>
      </c>
      <c r="G86" s="15" t="s">
        <v>35</v>
      </c>
    </row>
    <row r="87" spans="2:7" hidden="1">
      <c r="B87" s="51" t="s">
        <v>127</v>
      </c>
      <c r="C87" s="14" t="s">
        <v>129</v>
      </c>
      <c r="D87" s="15" t="s">
        <v>4</v>
      </c>
      <c r="E87" s="15" t="s">
        <v>139</v>
      </c>
      <c r="F87" s="15">
        <v>1</v>
      </c>
      <c r="G87" s="15" t="s">
        <v>35</v>
      </c>
    </row>
    <row r="88" spans="2:7" hidden="1">
      <c r="B88" s="51" t="s">
        <v>127</v>
      </c>
      <c r="C88" s="14" t="s">
        <v>130</v>
      </c>
      <c r="D88" s="15" t="s">
        <v>4</v>
      </c>
      <c r="E88" s="15" t="s">
        <v>139</v>
      </c>
      <c r="F88" s="15">
        <v>1</v>
      </c>
      <c r="G88" s="15" t="s">
        <v>35</v>
      </c>
    </row>
    <row r="89" spans="2:7">
      <c r="B89" s="52" t="s">
        <v>131</v>
      </c>
      <c r="C89" s="14" t="s">
        <v>132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131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157</v>
      </c>
    </row>
    <row r="91" spans="2:7">
      <c r="B91" s="52" t="s">
        <v>131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 hidden="1">
      <c r="B92" s="52" t="s">
        <v>131</v>
      </c>
      <c r="C92" s="14" t="s">
        <v>140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 hidden="1">
      <c r="B93" s="53" t="s">
        <v>141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135</v>
      </c>
    </row>
    <row r="94" spans="2:7" hidden="1">
      <c r="B94" s="53" t="s">
        <v>141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135</v>
      </c>
    </row>
    <row r="95" spans="2:7" hidden="1">
      <c r="B95" s="53" t="s">
        <v>141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35</v>
      </c>
    </row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/>
    <row r="107" spans="3:3" hidden="1">
      <c r="C107" s="18"/>
    </row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 hidden="1"/>
    <row r="116" spans="7:7">
      <c r="G116" s="40"/>
    </row>
  </sheetData>
  <autoFilter ref="C2:G115" xr:uid="{00000000-0001-0000-0000-000000000000}">
    <filterColumn colId="2">
      <filters>
        <filter val="プロト"/>
      </filters>
    </filterColumn>
    <filterColumn colId="4">
      <filters>
        <filter val="作業中"/>
        <filter val="未着手"/>
      </filters>
    </filterColumn>
  </autoFilter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2025-10-20T08:50:21Z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